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공식" sheetId="2" state="visible" r:id="rId2"/>
    <sheet name="경험치" sheetId="3" state="visible" r:id="rId3"/>
    <sheet name="몬스터" sheetId="4" state="visible" r:id="rId4"/>
    <sheet name="직업" sheetId="5" state="visible" r:id="rId5"/>
    <sheet name="스킬" sheetId="6" state="visible" r:id="rId6"/>
    <sheet name="장비 등급" sheetId="7" state="visible" r:id="rId7"/>
    <sheet name="전설 세트" sheetId="8" state="visible" r:id="rId8"/>
    <sheet name="지역" sheetId="9" state="visible" r:id="rId9"/>
  </sheets>
  <definedNames>
    <definedName name="EXP_BASE">'공식'!$B$2</definedName>
    <definedName name="EXP_POW">'공식'!$B$3</definedName>
    <definedName name="MOB_HP_K">'공식'!$B$4</definedName>
    <definedName name="MOB_HP_POW">'공식'!$B$5</definedName>
    <definedName name="MOB_HP_ADD">'공식'!$B$6</definedName>
    <definedName name="MOB_ATK_BASE">'공식'!$B$7</definedName>
    <definedName name="MOB_ATK_K">'공식'!$B$8</definedName>
    <definedName name="MOB_ATK_POW">'공식'!$B$9</definedName>
    <definedName name="MOB_EXP_K">'공식'!$B$10</definedName>
    <definedName name="MOB_EXP_POW">'공식'!$B$11</definedName>
    <definedName name="GOLD_MIN">'공식'!$B$12</definedName>
    <definedName name="GOLD_MAX">'공식'!$B$13</definedName>
    <definedName name="MITIG_K">'공식'!$B$14</definedName>
    <definedName name="HP_GROW">'공식'!$B$15</definedName>
    <definedName name="MP_GROW">'공식'!$B$16</definedName>
    <definedName name="ATK_GROW">'공식'!$B$17</definedName>
    <definedName name="DEF_GROW">'공식'!$B$18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FFFFFF"/>
    </font>
    <font>
      <name val="Arial"/>
      <color rgb="000000FF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3A2A1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5" fillId="3" borderId="1" pivotButton="0" quotePrefix="0" xfId="0"/>
    <xf numFmtId="0" fontId="6" fillId="0" borderId="0" pivotButton="0" quotePrefix="0" xfId="0"/>
    <xf numFmtId="0" fontId="5" fillId="0" borderId="1" pivotButton="0" quotePrefix="0" xfId="0"/>
    <xf numFmtId="3" fontId="2" fillId="0" borderId="1" pivotButton="0" quotePrefix="0" xfId="0"/>
    <xf numFmtId="3" fontId="5" fillId="0" borderId="1" pivotButton="0" quotePrefix="0" xfId="0"/>
    <xf numFmtId="9" fontId="5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Claude</author>
  </authors>
  <commentList>
    <comment ref="M1" authorId="0" shapeId="0">
      <text>
        <t>계산 레벨을 바꾸면 오른쪽 값이 그 레벨 기준으로 다시 계산됩니다.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용의 귀환 · 밸런스 시트</t>
        </is>
      </c>
    </row>
    <row r="3">
      <c r="A3" s="2" t="inlineStr">
        <is>
          <t>게임 코드(ver 2026.09.29-6)에서 뽑은 실제 수치입니다. 공식은 게임 코드와 같은 식을 엑셀 수식으로 옮겼습니다.</t>
        </is>
      </c>
    </row>
    <row r="4">
      <c r="A4" s="2" t="inlineStr"/>
    </row>
    <row r="5">
      <c r="A5" s="3" t="inlineStr">
        <is>
          <t>색 구분</t>
        </is>
      </c>
    </row>
    <row r="6">
      <c r="A6" s="2" t="inlineStr">
        <is>
          <t>· 파란 글씨: 직접 바꿔 볼 수 있는 입력값 (게임 코드의 상수 · 몬스터 설정)</t>
        </is>
      </c>
    </row>
    <row r="7">
      <c r="A7" s="2" t="inlineStr">
        <is>
          <t>· 검은 글씨: 수식으로 자동 계산되는 값</t>
        </is>
      </c>
    </row>
    <row r="8">
      <c r="A8" s="2" t="inlineStr">
        <is>
          <t>· 초록 글씨: 다른 시트에서 가져오는 값</t>
        </is>
      </c>
    </row>
    <row r="9">
      <c r="A9" s="2" t="inlineStr">
        <is>
          <t>· 노란 칸: 밸런스를 조정할 때 가장 먼저 만져 볼 핵심 상수 ([공식] 시트)</t>
        </is>
      </c>
    </row>
    <row r="10">
      <c r="A10" s="2" t="inlineStr"/>
    </row>
    <row r="11">
      <c r="A11" s="3" t="inlineStr">
        <is>
          <t>시트 안내</t>
        </is>
      </c>
    </row>
    <row r="12">
      <c r="A12" s="2" t="inlineStr">
        <is>
          <t>· 공식: 경험치 · 몬스터 스탯 · 피해 감소 공식의 상수. 여기 값을 바꾸면 다른 시트가 모두 다시 계산됩니다.</t>
        </is>
      </c>
    </row>
    <row r="13">
      <c r="A13" s="2" t="inlineStr">
        <is>
          <t>· 경험치: 레벨별 필요 경험치와 누적 경험치.</t>
        </is>
      </c>
    </row>
    <row r="14">
      <c r="A14" s="2" t="inlineStr">
        <is>
          <t>· 몬스터: 몬스터별 레벨 · 체력 · 공격력 · 경험치 · 골드, 레벨업에 필요한 처치 수.</t>
        </is>
      </c>
    </row>
    <row r="15">
      <c r="A15" s="2" t="inlineStr">
        <is>
          <t>· 직업: 3직업(+초보자) 기본 스탯과 레벨별 성장 (무기·방어구 제외).</t>
        </is>
      </c>
    </row>
    <row r="16">
      <c r="A16" s="2" t="inlineStr">
        <is>
          <t>· 스킬: 직업별 스킬 · 해금 레벨 · 재사용 대기시간 · 설명.</t>
        </is>
      </c>
    </row>
    <row r="17">
      <c r="A17" s="2" t="inlineStr">
        <is>
          <t>· 장비 등급: 레벨 구간별 무기 · 방어구 기본 수치와 이름.</t>
        </is>
      </c>
    </row>
    <row r="18">
      <c r="A18" s="2" t="inlineStr">
        <is>
          <t>· 전설 세트: 바라카스 용혈 전설 세트와 영웅 5세트 효과.</t>
        </is>
      </c>
    </row>
    <row r="19">
      <c r="A19" s="2" t="inlineStr">
        <is>
          <t>· 지역: 지역 이름과 드롭 장비 등급.</t>
        </is>
      </c>
    </row>
    <row r="20">
      <c r="A20" s="2" t="inlineStr"/>
    </row>
    <row r="21">
      <c r="A21" s="2" t="inlineStr">
        <is>
          <t>주의: 게임에 적용하려면 바꾼 값을 코드에 옮겨야 합니다. 이 파일은 시뮬레이션용입니다.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80" customWidth="1" min="3" max="3"/>
  </cols>
  <sheetData>
    <row r="1">
      <c r="A1" s="4" t="inlineStr">
        <is>
          <t>항목</t>
        </is>
      </c>
      <c r="B1" s="4" t="inlineStr">
        <is>
          <t>값</t>
        </is>
      </c>
      <c r="C1" s="4" t="inlineStr">
        <is>
          <t>설명 (게임 코드)</t>
        </is>
      </c>
    </row>
    <row r="2">
      <c r="A2" s="5" t="inlineStr">
        <is>
          <t>EXP_BASE</t>
        </is>
      </c>
      <c r="B2" s="6" t="n">
        <v>90</v>
      </c>
      <c r="C2" s="5" t="inlineStr">
        <is>
          <t>필요 경험치 = FLOOR(EXP_BASE × 레벨^EXP_POW)  — needExp()</t>
        </is>
      </c>
    </row>
    <row r="3">
      <c r="A3" s="5" t="inlineStr">
        <is>
          <t>EXP_POW</t>
        </is>
      </c>
      <c r="B3" s="6" t="n">
        <v>1.55</v>
      </c>
      <c r="C3" s="5" t="inlineStr"/>
    </row>
    <row r="4">
      <c r="A4" s="5" t="inlineStr">
        <is>
          <t>MOB_HP_K</t>
        </is>
      </c>
      <c r="B4" s="6" t="n">
        <v>7</v>
      </c>
      <c r="C4" s="5" t="inlineStr">
        <is>
          <t>몬스터 체력 = (MOB_HP_K × 레벨^MOB_HP_POW × 역할 + MOB_HP_ADD) × 보스배수(hp) — spawnEnemy()</t>
        </is>
      </c>
    </row>
    <row r="5">
      <c r="A5" s="5" t="inlineStr">
        <is>
          <t>MOB_HP_POW</t>
        </is>
      </c>
      <c r="B5" s="6" t="n">
        <v>1.35</v>
      </c>
      <c r="C5" s="5" t="inlineStr"/>
    </row>
    <row r="6">
      <c r="A6" s="5" t="inlineStr">
        <is>
          <t>MOB_HP_ADD</t>
        </is>
      </c>
      <c r="B6" s="6" t="n">
        <v>30</v>
      </c>
      <c r="C6" s="5" t="inlineStr"/>
    </row>
    <row r="7">
      <c r="A7" s="5" t="inlineStr">
        <is>
          <t>MOB_ATK_BASE</t>
        </is>
      </c>
      <c r="B7" s="6" t="n">
        <v>4</v>
      </c>
      <c r="C7" s="5" t="inlineStr">
        <is>
          <t>몬스터 공격력 = (MOB_ATK_BASE + MOB_ATK_K × 레벨^MOB_ATK_POW) × 역할</t>
        </is>
      </c>
    </row>
    <row r="8">
      <c r="A8" s="5" t="inlineStr">
        <is>
          <t>MOB_ATK_K</t>
        </is>
      </c>
      <c r="B8" s="6" t="n">
        <v>1.6</v>
      </c>
      <c r="C8" s="5" t="inlineStr"/>
    </row>
    <row r="9">
      <c r="A9" s="5" t="inlineStr">
        <is>
          <t>MOB_ATK_POW</t>
        </is>
      </c>
      <c r="B9" s="6" t="n">
        <v>1.3</v>
      </c>
      <c r="C9" s="5" t="inlineStr"/>
    </row>
    <row r="10">
      <c r="A10" s="5" t="inlineStr">
        <is>
          <t>MOB_EXP_K</t>
        </is>
      </c>
      <c r="B10" s="6" t="n">
        <v>9</v>
      </c>
      <c r="C10" s="5" t="inlineStr">
        <is>
          <t>처치 경험치 = MOB_EXP_K × 레벨^MOB_EXP_POW × 역할 × 보스배수(exp)</t>
        </is>
      </c>
    </row>
    <row r="11">
      <c r="A11" s="5" t="inlineStr">
        <is>
          <t>MOB_EXP_POW</t>
        </is>
      </c>
      <c r="B11" s="6" t="n">
        <v>1.5</v>
      </c>
      <c r="C11" s="5" t="inlineStr"/>
    </row>
    <row r="12">
      <c r="A12" s="5" t="inlineStr">
        <is>
          <t>GOLD_MIN</t>
        </is>
      </c>
      <c r="B12" s="6" t="n">
        <v>6</v>
      </c>
      <c r="C12" s="5" t="inlineStr">
        <is>
          <t>골드 = 레벨 × (GOLD_MIN ~ GOLD_MAX) × 보스배수(gold)</t>
        </is>
      </c>
    </row>
    <row r="13">
      <c r="A13" s="5" t="inlineStr">
        <is>
          <t>GOLD_MAX</t>
        </is>
      </c>
      <c r="B13" s="6" t="n">
        <v>11</v>
      </c>
      <c r="C13" s="5" t="inlineStr"/>
    </row>
    <row r="14">
      <c r="A14" s="5" t="inlineStr">
        <is>
          <t>MITIG_K</t>
        </is>
      </c>
      <c r="B14" s="6" t="n">
        <v>500</v>
      </c>
      <c r="C14" s="5" t="inlineStr">
        <is>
          <t>피해 배율 = MITIG_K / (MITIG_K + 방어력) — mitig()</t>
        </is>
      </c>
    </row>
    <row r="15">
      <c r="A15" s="5" t="inlineStr">
        <is>
          <t>HP_GROW</t>
        </is>
      </c>
      <c r="B15" s="6" t="n">
        <v>0.13</v>
      </c>
      <c r="C15" s="5" t="inlineStr">
        <is>
          <t>플레이어 최대 체력 = 직업 체력 × (1 + HP_GROW × (레벨-1))  (장비·스탯 제외)</t>
        </is>
      </c>
    </row>
    <row r="16">
      <c r="A16" s="5" t="inlineStr">
        <is>
          <t>MP_GROW</t>
        </is>
      </c>
      <c r="B16" s="6" t="n">
        <v>0.1</v>
      </c>
      <c r="C16" s="5" t="inlineStr">
        <is>
          <t>플레이어 최대 마력 = 직업 마력 × (1 + MP_GROW × (레벨-1))</t>
        </is>
      </c>
    </row>
    <row r="17">
      <c r="A17" s="5" t="inlineStr">
        <is>
          <t>ATK_GROW</t>
        </is>
      </c>
      <c r="B17" s="6" t="n">
        <v>0.09</v>
      </c>
      <c r="C17" s="5" t="inlineStr">
        <is>
          <t>플레이어 공격력 = (직업 공격력 + 무기) × (1 + ATK_GROW × (레벨-1))</t>
        </is>
      </c>
    </row>
    <row r="18">
      <c r="A18" s="5" t="inlineStr">
        <is>
          <t>DEF_GROW</t>
        </is>
      </c>
      <c r="B18" s="6" t="n">
        <v>0.1</v>
      </c>
      <c r="C18" s="5" t="inlineStr">
        <is>
          <t>플레이어 방어력 = 직업 방어력 × (1 + DEF_GROW × (레벨-1))</t>
        </is>
      </c>
    </row>
    <row r="20">
      <c r="A20" s="7" t="inlineStr">
        <is>
          <t>출처: 게임 코드 ignis.html (needExp, spawnEnemy, mitig, recalc).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</cols>
  <sheetData>
    <row r="1">
      <c r="A1" s="4" t="inlineStr">
        <is>
          <t>레벨</t>
        </is>
      </c>
      <c r="B1" s="4" t="inlineStr">
        <is>
          <t>다음 레벨까지 필요 경험치</t>
        </is>
      </c>
      <c r="C1" s="4" t="inlineStr">
        <is>
          <t>누적 경험치</t>
        </is>
      </c>
    </row>
    <row r="2">
      <c r="A2" s="8" t="n">
        <v>1</v>
      </c>
      <c r="B2" s="9">
        <f>FLOOR(EXP_BASE*A2^EXP_POW,1)</f>
        <v/>
      </c>
      <c r="C2" s="9">
        <f>B2</f>
        <v/>
      </c>
    </row>
    <row r="3">
      <c r="A3" s="8" t="n">
        <v>2</v>
      </c>
      <c r="B3" s="9">
        <f>FLOOR(EXP_BASE*A3^EXP_POW,1)</f>
        <v/>
      </c>
      <c r="C3" s="9">
        <f>C2+B3</f>
        <v/>
      </c>
    </row>
    <row r="4">
      <c r="A4" s="8" t="n">
        <v>3</v>
      </c>
      <c r="B4" s="9">
        <f>FLOOR(EXP_BASE*A4^EXP_POW,1)</f>
        <v/>
      </c>
      <c r="C4" s="9">
        <f>C3+B4</f>
        <v/>
      </c>
    </row>
    <row r="5">
      <c r="A5" s="8" t="n">
        <v>4</v>
      </c>
      <c r="B5" s="9">
        <f>FLOOR(EXP_BASE*A5^EXP_POW,1)</f>
        <v/>
      </c>
      <c r="C5" s="9">
        <f>C4+B5</f>
        <v/>
      </c>
    </row>
    <row r="6">
      <c r="A6" s="8" t="n">
        <v>5</v>
      </c>
      <c r="B6" s="9">
        <f>FLOOR(EXP_BASE*A6^EXP_POW,1)</f>
        <v/>
      </c>
      <c r="C6" s="9">
        <f>C5+B6</f>
        <v/>
      </c>
    </row>
    <row r="7">
      <c r="A7" s="8" t="n">
        <v>6</v>
      </c>
      <c r="B7" s="9">
        <f>FLOOR(EXP_BASE*A7^EXP_POW,1)</f>
        <v/>
      </c>
      <c r="C7" s="9">
        <f>C6+B7</f>
        <v/>
      </c>
    </row>
    <row r="8">
      <c r="A8" s="8" t="n">
        <v>7</v>
      </c>
      <c r="B8" s="9">
        <f>FLOOR(EXP_BASE*A8^EXP_POW,1)</f>
        <v/>
      </c>
      <c r="C8" s="9">
        <f>C7+B8</f>
        <v/>
      </c>
    </row>
    <row r="9">
      <c r="A9" s="8" t="n">
        <v>8</v>
      </c>
      <c r="B9" s="9">
        <f>FLOOR(EXP_BASE*A9^EXP_POW,1)</f>
        <v/>
      </c>
      <c r="C9" s="9">
        <f>C8+B9</f>
        <v/>
      </c>
    </row>
    <row r="10">
      <c r="A10" s="8" t="n">
        <v>9</v>
      </c>
      <c r="B10" s="9">
        <f>FLOOR(EXP_BASE*A10^EXP_POW,1)</f>
        <v/>
      </c>
      <c r="C10" s="9">
        <f>C9+B10</f>
        <v/>
      </c>
    </row>
    <row r="11">
      <c r="A11" s="8" t="n">
        <v>10</v>
      </c>
      <c r="B11" s="9">
        <f>FLOOR(EXP_BASE*A11^EXP_POW,1)</f>
        <v/>
      </c>
      <c r="C11" s="9">
        <f>C10+B11</f>
        <v/>
      </c>
    </row>
    <row r="12">
      <c r="A12" s="8" t="n">
        <v>11</v>
      </c>
      <c r="B12" s="9">
        <f>FLOOR(EXP_BASE*A12^EXP_POW,1)</f>
        <v/>
      </c>
      <c r="C12" s="9">
        <f>C11+B12</f>
        <v/>
      </c>
    </row>
    <row r="13">
      <c r="A13" s="8" t="n">
        <v>12</v>
      </c>
      <c r="B13" s="9">
        <f>FLOOR(EXP_BASE*A13^EXP_POW,1)</f>
        <v/>
      </c>
      <c r="C13" s="9">
        <f>C12+B13</f>
        <v/>
      </c>
    </row>
    <row r="14">
      <c r="A14" s="8" t="n">
        <v>13</v>
      </c>
      <c r="B14" s="9">
        <f>FLOOR(EXP_BASE*A14^EXP_POW,1)</f>
        <v/>
      </c>
      <c r="C14" s="9">
        <f>C13+B14</f>
        <v/>
      </c>
    </row>
    <row r="15">
      <c r="A15" s="8" t="n">
        <v>14</v>
      </c>
      <c r="B15" s="9">
        <f>FLOOR(EXP_BASE*A15^EXP_POW,1)</f>
        <v/>
      </c>
      <c r="C15" s="9">
        <f>C14+B15</f>
        <v/>
      </c>
    </row>
    <row r="16">
      <c r="A16" s="8" t="n">
        <v>15</v>
      </c>
      <c r="B16" s="9">
        <f>FLOOR(EXP_BASE*A16^EXP_POW,1)</f>
        <v/>
      </c>
      <c r="C16" s="9">
        <f>C15+B16</f>
        <v/>
      </c>
    </row>
    <row r="17">
      <c r="A17" s="8" t="n">
        <v>16</v>
      </c>
      <c r="B17" s="9">
        <f>FLOOR(EXP_BASE*A17^EXP_POW,1)</f>
        <v/>
      </c>
      <c r="C17" s="9">
        <f>C16+B17</f>
        <v/>
      </c>
    </row>
    <row r="18">
      <c r="A18" s="8" t="n">
        <v>17</v>
      </c>
      <c r="B18" s="9">
        <f>FLOOR(EXP_BASE*A18^EXP_POW,1)</f>
        <v/>
      </c>
      <c r="C18" s="9">
        <f>C17+B18</f>
        <v/>
      </c>
    </row>
    <row r="19">
      <c r="A19" s="8" t="n">
        <v>18</v>
      </c>
      <c r="B19" s="9">
        <f>FLOOR(EXP_BASE*A19^EXP_POW,1)</f>
        <v/>
      </c>
      <c r="C19" s="9">
        <f>C18+B19</f>
        <v/>
      </c>
    </row>
    <row r="20">
      <c r="A20" s="8" t="n">
        <v>19</v>
      </c>
      <c r="B20" s="9">
        <f>FLOOR(EXP_BASE*A20^EXP_POW,1)</f>
        <v/>
      </c>
      <c r="C20" s="9">
        <f>C19+B20</f>
        <v/>
      </c>
    </row>
    <row r="21">
      <c r="A21" s="8" t="n">
        <v>20</v>
      </c>
      <c r="B21" s="9">
        <f>FLOOR(EXP_BASE*A21^EXP_POW,1)</f>
        <v/>
      </c>
      <c r="C21" s="9">
        <f>C20+B21</f>
        <v/>
      </c>
    </row>
    <row r="22">
      <c r="A22" s="8" t="n">
        <v>21</v>
      </c>
      <c r="B22" s="9">
        <f>FLOOR(EXP_BASE*A22^EXP_POW,1)</f>
        <v/>
      </c>
      <c r="C22" s="9">
        <f>C21+B22</f>
        <v/>
      </c>
    </row>
    <row r="23">
      <c r="A23" s="8" t="n">
        <v>22</v>
      </c>
      <c r="B23" s="9">
        <f>FLOOR(EXP_BASE*A23^EXP_POW,1)</f>
        <v/>
      </c>
      <c r="C23" s="9">
        <f>C22+B23</f>
        <v/>
      </c>
    </row>
    <row r="24">
      <c r="A24" s="8" t="n">
        <v>23</v>
      </c>
      <c r="B24" s="9">
        <f>FLOOR(EXP_BASE*A24^EXP_POW,1)</f>
        <v/>
      </c>
      <c r="C24" s="9">
        <f>C23+B24</f>
        <v/>
      </c>
    </row>
    <row r="25">
      <c r="A25" s="8" t="n">
        <v>24</v>
      </c>
      <c r="B25" s="9">
        <f>FLOOR(EXP_BASE*A25^EXP_POW,1)</f>
        <v/>
      </c>
      <c r="C25" s="9">
        <f>C24+B25</f>
        <v/>
      </c>
    </row>
    <row r="26">
      <c r="A26" s="8" t="n">
        <v>25</v>
      </c>
      <c r="B26" s="9">
        <f>FLOOR(EXP_BASE*A26^EXP_POW,1)</f>
        <v/>
      </c>
      <c r="C26" s="9">
        <f>C25+B26</f>
        <v/>
      </c>
    </row>
    <row r="27">
      <c r="A27" s="8" t="n">
        <v>26</v>
      </c>
      <c r="B27" s="9">
        <f>FLOOR(EXP_BASE*A27^EXP_POW,1)</f>
        <v/>
      </c>
      <c r="C27" s="9">
        <f>C26+B27</f>
        <v/>
      </c>
    </row>
    <row r="28">
      <c r="A28" s="8" t="n">
        <v>27</v>
      </c>
      <c r="B28" s="9">
        <f>FLOOR(EXP_BASE*A28^EXP_POW,1)</f>
        <v/>
      </c>
      <c r="C28" s="9">
        <f>C27+B28</f>
        <v/>
      </c>
    </row>
    <row r="29">
      <c r="A29" s="8" t="n">
        <v>28</v>
      </c>
      <c r="B29" s="9">
        <f>FLOOR(EXP_BASE*A29^EXP_POW,1)</f>
        <v/>
      </c>
      <c r="C29" s="9">
        <f>C28+B29</f>
        <v/>
      </c>
    </row>
    <row r="30">
      <c r="A30" s="8" t="n">
        <v>29</v>
      </c>
      <c r="B30" s="9">
        <f>FLOOR(EXP_BASE*A30^EXP_POW,1)</f>
        <v/>
      </c>
      <c r="C30" s="9">
        <f>C29+B30</f>
        <v/>
      </c>
    </row>
    <row r="31">
      <c r="A31" s="8" t="n">
        <v>30</v>
      </c>
      <c r="B31" s="9">
        <f>FLOOR(EXP_BASE*A31^EXP_POW,1)</f>
        <v/>
      </c>
      <c r="C31" s="9">
        <f>C30+B31</f>
        <v/>
      </c>
    </row>
    <row r="32">
      <c r="A32" s="8" t="n">
        <v>31</v>
      </c>
      <c r="B32" s="9">
        <f>FLOOR(EXP_BASE*A32^EXP_POW,1)</f>
        <v/>
      </c>
      <c r="C32" s="9">
        <f>C31+B32</f>
        <v/>
      </c>
    </row>
    <row r="33">
      <c r="A33" s="8" t="n">
        <v>32</v>
      </c>
      <c r="B33" s="9">
        <f>FLOOR(EXP_BASE*A33^EXP_POW,1)</f>
        <v/>
      </c>
      <c r="C33" s="9">
        <f>C32+B33</f>
        <v/>
      </c>
    </row>
    <row r="34">
      <c r="A34" s="8" t="n">
        <v>33</v>
      </c>
      <c r="B34" s="9">
        <f>FLOOR(EXP_BASE*A34^EXP_POW,1)</f>
        <v/>
      </c>
      <c r="C34" s="9">
        <f>C33+B34</f>
        <v/>
      </c>
    </row>
    <row r="35">
      <c r="A35" s="8" t="n">
        <v>34</v>
      </c>
      <c r="B35" s="9">
        <f>FLOOR(EXP_BASE*A35^EXP_POW,1)</f>
        <v/>
      </c>
      <c r="C35" s="9">
        <f>C34+B35</f>
        <v/>
      </c>
    </row>
    <row r="36">
      <c r="A36" s="8" t="n">
        <v>35</v>
      </c>
      <c r="B36" s="9">
        <f>FLOOR(EXP_BASE*A36^EXP_POW,1)</f>
        <v/>
      </c>
      <c r="C36" s="9">
        <f>C35+B36</f>
        <v/>
      </c>
    </row>
    <row r="37">
      <c r="A37" s="8" t="n">
        <v>36</v>
      </c>
      <c r="B37" s="9">
        <f>FLOOR(EXP_BASE*A37^EXP_POW,1)</f>
        <v/>
      </c>
      <c r="C37" s="9">
        <f>C36+B37</f>
        <v/>
      </c>
    </row>
    <row r="38">
      <c r="A38" s="8" t="n">
        <v>37</v>
      </c>
      <c r="B38" s="9">
        <f>FLOOR(EXP_BASE*A38^EXP_POW,1)</f>
        <v/>
      </c>
      <c r="C38" s="9">
        <f>C37+B38</f>
        <v/>
      </c>
    </row>
    <row r="39">
      <c r="A39" s="8" t="n">
        <v>38</v>
      </c>
      <c r="B39" s="9">
        <f>FLOOR(EXP_BASE*A39^EXP_POW,1)</f>
        <v/>
      </c>
      <c r="C39" s="9">
        <f>C38+B39</f>
        <v/>
      </c>
    </row>
    <row r="40">
      <c r="A40" s="8" t="n">
        <v>39</v>
      </c>
      <c r="B40" s="9">
        <f>FLOOR(EXP_BASE*A40^EXP_POW,1)</f>
        <v/>
      </c>
      <c r="C40" s="9">
        <f>C39+B40</f>
        <v/>
      </c>
    </row>
    <row r="41">
      <c r="A41" s="8" t="n">
        <v>40</v>
      </c>
      <c r="B41" s="9">
        <f>FLOOR(EXP_BASE*A41^EXP_POW,1)</f>
        <v/>
      </c>
      <c r="C41" s="9">
        <f>C40+B41</f>
        <v/>
      </c>
    </row>
    <row r="42">
      <c r="A42" s="8" t="n">
        <v>41</v>
      </c>
      <c r="B42" s="9">
        <f>FLOOR(EXP_BASE*A42^EXP_POW,1)</f>
        <v/>
      </c>
      <c r="C42" s="9">
        <f>C41+B42</f>
        <v/>
      </c>
    </row>
    <row r="43">
      <c r="A43" s="8" t="n">
        <v>42</v>
      </c>
      <c r="B43" s="9">
        <f>FLOOR(EXP_BASE*A43^EXP_POW,1)</f>
        <v/>
      </c>
      <c r="C43" s="9">
        <f>C42+B43</f>
        <v/>
      </c>
    </row>
    <row r="44">
      <c r="A44" s="8" t="n">
        <v>43</v>
      </c>
      <c r="B44" s="9">
        <f>FLOOR(EXP_BASE*A44^EXP_POW,1)</f>
        <v/>
      </c>
      <c r="C44" s="9">
        <f>C43+B44</f>
        <v/>
      </c>
    </row>
    <row r="45">
      <c r="A45" s="8" t="n">
        <v>44</v>
      </c>
      <c r="B45" s="9">
        <f>FLOOR(EXP_BASE*A45^EXP_POW,1)</f>
        <v/>
      </c>
      <c r="C45" s="9">
        <f>C44+B45</f>
        <v/>
      </c>
    </row>
    <row r="46">
      <c r="A46" s="8" t="n">
        <v>45</v>
      </c>
      <c r="B46" s="9">
        <f>FLOOR(EXP_BASE*A46^EXP_POW,1)</f>
        <v/>
      </c>
      <c r="C46" s="9">
        <f>C45+B46</f>
        <v/>
      </c>
    </row>
    <row r="47">
      <c r="A47" s="8" t="n">
        <v>46</v>
      </c>
      <c r="B47" s="9">
        <f>FLOOR(EXP_BASE*A47^EXP_POW,1)</f>
        <v/>
      </c>
      <c r="C47" s="9">
        <f>C46+B47</f>
        <v/>
      </c>
    </row>
    <row r="48">
      <c r="A48" s="8" t="n">
        <v>47</v>
      </c>
      <c r="B48" s="9">
        <f>FLOOR(EXP_BASE*A48^EXP_POW,1)</f>
        <v/>
      </c>
      <c r="C48" s="9">
        <f>C47+B48</f>
        <v/>
      </c>
    </row>
    <row r="49">
      <c r="A49" s="8" t="n">
        <v>48</v>
      </c>
      <c r="B49" s="9">
        <f>FLOOR(EXP_BASE*A49^EXP_POW,1)</f>
        <v/>
      </c>
      <c r="C49" s="9">
        <f>C48+B49</f>
        <v/>
      </c>
    </row>
    <row r="50">
      <c r="A50" s="8" t="n">
        <v>49</v>
      </c>
      <c r="B50" s="9">
        <f>FLOOR(EXP_BASE*A50^EXP_POW,1)</f>
        <v/>
      </c>
      <c r="C50" s="9">
        <f>C49+B50</f>
        <v/>
      </c>
    </row>
    <row r="51">
      <c r="A51" s="8" t="n">
        <v>50</v>
      </c>
      <c r="B51" s="9">
        <f>FLOOR(EXP_BASE*A51^EXP_POW,1)</f>
        <v/>
      </c>
      <c r="C51" s="9">
        <f>C50+B51</f>
        <v/>
      </c>
    </row>
    <row r="52">
      <c r="A52" s="8" t="n">
        <v>51</v>
      </c>
      <c r="B52" s="9">
        <f>FLOOR(EXP_BASE*A52^EXP_POW,1)</f>
        <v/>
      </c>
      <c r="C52" s="9">
        <f>C51+B52</f>
        <v/>
      </c>
    </row>
    <row r="53">
      <c r="A53" s="8" t="n">
        <v>52</v>
      </c>
      <c r="B53" s="9">
        <f>FLOOR(EXP_BASE*A53^EXP_POW,1)</f>
        <v/>
      </c>
      <c r="C53" s="9">
        <f>C52+B53</f>
        <v/>
      </c>
    </row>
    <row r="54">
      <c r="A54" s="8" t="n">
        <v>53</v>
      </c>
      <c r="B54" s="9">
        <f>FLOOR(EXP_BASE*A54^EXP_POW,1)</f>
        <v/>
      </c>
      <c r="C54" s="9">
        <f>C53+B54</f>
        <v/>
      </c>
    </row>
    <row r="55">
      <c r="A55" s="8" t="n">
        <v>54</v>
      </c>
      <c r="B55" s="9">
        <f>FLOOR(EXP_BASE*A55^EXP_POW,1)</f>
        <v/>
      </c>
      <c r="C55" s="9">
        <f>C54+B55</f>
        <v/>
      </c>
    </row>
    <row r="56">
      <c r="A56" s="8" t="n">
        <v>55</v>
      </c>
      <c r="B56" s="9">
        <f>FLOOR(EXP_BASE*A56^EXP_POW,1)</f>
        <v/>
      </c>
      <c r="C56" s="9">
        <f>C55+B56</f>
        <v/>
      </c>
    </row>
    <row r="57">
      <c r="A57" s="8" t="n">
        <v>56</v>
      </c>
      <c r="B57" s="9">
        <f>FLOOR(EXP_BASE*A57^EXP_POW,1)</f>
        <v/>
      </c>
      <c r="C57" s="9">
        <f>C56+B57</f>
        <v/>
      </c>
    </row>
    <row r="58">
      <c r="A58" s="8" t="n">
        <v>57</v>
      </c>
      <c r="B58" s="9">
        <f>FLOOR(EXP_BASE*A58^EXP_POW,1)</f>
        <v/>
      </c>
      <c r="C58" s="9">
        <f>C57+B58</f>
        <v/>
      </c>
    </row>
    <row r="59">
      <c r="A59" s="8" t="n">
        <v>58</v>
      </c>
      <c r="B59" s="9">
        <f>FLOOR(EXP_BASE*A59^EXP_POW,1)</f>
        <v/>
      </c>
      <c r="C59" s="9">
        <f>C58+B59</f>
        <v/>
      </c>
    </row>
    <row r="60">
      <c r="A60" s="8" t="n">
        <v>59</v>
      </c>
      <c r="B60" s="9">
        <f>FLOOR(EXP_BASE*A60^EXP_POW,1)</f>
        <v/>
      </c>
      <c r="C60" s="9">
        <f>C59+B60</f>
        <v/>
      </c>
    </row>
    <row r="61">
      <c r="A61" s="8" t="n">
        <v>60</v>
      </c>
      <c r="B61" s="9">
        <f>FLOOR(EXP_BASE*A61^EXP_POW,1)</f>
        <v/>
      </c>
      <c r="C61" s="9">
        <f>C60+B61</f>
        <v/>
      </c>
    </row>
    <row r="62">
      <c r="A62" s="8" t="n">
        <v>61</v>
      </c>
      <c r="B62" s="9">
        <f>FLOOR(EXP_BASE*A62^EXP_POW,1)</f>
        <v/>
      </c>
      <c r="C62" s="9">
        <f>C61+B62</f>
        <v/>
      </c>
    </row>
    <row r="63">
      <c r="A63" s="8" t="n">
        <v>62</v>
      </c>
      <c r="B63" s="9">
        <f>FLOOR(EXP_BASE*A63^EXP_POW,1)</f>
        <v/>
      </c>
      <c r="C63" s="9">
        <f>C62+B63</f>
        <v/>
      </c>
    </row>
    <row r="64">
      <c r="A64" s="8" t="n">
        <v>63</v>
      </c>
      <c r="B64" s="9">
        <f>FLOOR(EXP_BASE*A64^EXP_POW,1)</f>
        <v/>
      </c>
      <c r="C64" s="9">
        <f>C63+B64</f>
        <v/>
      </c>
    </row>
    <row r="65">
      <c r="A65" s="8" t="n">
        <v>64</v>
      </c>
      <c r="B65" s="9">
        <f>FLOOR(EXP_BASE*A65^EXP_POW,1)</f>
        <v/>
      </c>
      <c r="C65" s="9">
        <f>C64+B65</f>
        <v/>
      </c>
    </row>
    <row r="66">
      <c r="A66" s="8" t="n">
        <v>65</v>
      </c>
      <c r="B66" s="9">
        <f>FLOOR(EXP_BASE*A66^EXP_POW,1)</f>
        <v/>
      </c>
      <c r="C66" s="9">
        <f>C65+B66</f>
        <v/>
      </c>
    </row>
    <row r="67">
      <c r="A67" s="8" t="n">
        <v>66</v>
      </c>
      <c r="B67" s="9">
        <f>FLOOR(EXP_BASE*A67^EXP_POW,1)</f>
        <v/>
      </c>
      <c r="C67" s="9">
        <f>C66+B67</f>
        <v/>
      </c>
    </row>
    <row r="68">
      <c r="A68" s="8" t="n">
        <v>67</v>
      </c>
      <c r="B68" s="9">
        <f>FLOOR(EXP_BASE*A68^EXP_POW,1)</f>
        <v/>
      </c>
      <c r="C68" s="9">
        <f>C67+B68</f>
        <v/>
      </c>
    </row>
    <row r="69">
      <c r="A69" s="8" t="n">
        <v>68</v>
      </c>
      <c r="B69" s="9">
        <f>FLOOR(EXP_BASE*A69^EXP_POW,1)</f>
        <v/>
      </c>
      <c r="C69" s="9">
        <f>C68+B69</f>
        <v/>
      </c>
    </row>
    <row r="70">
      <c r="A70" s="8" t="n">
        <v>69</v>
      </c>
      <c r="B70" s="9">
        <f>FLOOR(EXP_BASE*A70^EXP_POW,1)</f>
        <v/>
      </c>
      <c r="C70" s="9">
        <f>C69+B70</f>
        <v/>
      </c>
    </row>
    <row r="71">
      <c r="A71" s="8" t="n">
        <v>70</v>
      </c>
      <c r="B71" s="9">
        <f>FLOOR(EXP_BASE*A71^EXP_POW,1)</f>
        <v/>
      </c>
      <c r="C71" s="9">
        <f>C70+B71</f>
        <v/>
      </c>
    </row>
    <row r="72">
      <c r="A72" s="8" t="n">
        <v>71</v>
      </c>
      <c r="B72" s="9">
        <f>FLOOR(EXP_BASE*A72^EXP_POW,1)</f>
        <v/>
      </c>
      <c r="C72" s="9">
        <f>C71+B72</f>
        <v/>
      </c>
    </row>
    <row r="73">
      <c r="A73" s="8" t="n">
        <v>72</v>
      </c>
      <c r="B73" s="9">
        <f>FLOOR(EXP_BASE*A73^EXP_POW,1)</f>
        <v/>
      </c>
      <c r="C73" s="9">
        <f>C72+B73</f>
        <v/>
      </c>
    </row>
    <row r="74">
      <c r="A74" s="8" t="n">
        <v>73</v>
      </c>
      <c r="B74" s="9">
        <f>FLOOR(EXP_BASE*A74^EXP_POW,1)</f>
        <v/>
      </c>
      <c r="C74" s="9">
        <f>C73+B74</f>
        <v/>
      </c>
    </row>
    <row r="75">
      <c r="A75" s="8" t="n">
        <v>74</v>
      </c>
      <c r="B75" s="9">
        <f>FLOOR(EXP_BASE*A75^EXP_POW,1)</f>
        <v/>
      </c>
      <c r="C75" s="9">
        <f>C74+B75</f>
        <v/>
      </c>
    </row>
    <row r="76">
      <c r="A76" s="8" t="n">
        <v>75</v>
      </c>
      <c r="B76" s="9">
        <f>FLOOR(EXP_BASE*A76^EXP_POW,1)</f>
        <v/>
      </c>
      <c r="C76" s="9">
        <f>C75+B76</f>
        <v/>
      </c>
    </row>
    <row r="77">
      <c r="A77" s="8" t="n">
        <v>76</v>
      </c>
      <c r="B77" s="9">
        <f>FLOOR(EXP_BASE*A77^EXP_POW,1)</f>
        <v/>
      </c>
      <c r="C77" s="9">
        <f>C76+B77</f>
        <v/>
      </c>
    </row>
    <row r="78">
      <c r="A78" s="8" t="n">
        <v>77</v>
      </c>
      <c r="B78" s="9">
        <f>FLOOR(EXP_BASE*A78^EXP_POW,1)</f>
        <v/>
      </c>
      <c r="C78" s="9">
        <f>C77+B78</f>
        <v/>
      </c>
    </row>
    <row r="79">
      <c r="A79" s="8" t="n">
        <v>78</v>
      </c>
      <c r="B79" s="9">
        <f>FLOOR(EXP_BASE*A79^EXP_POW,1)</f>
        <v/>
      </c>
      <c r="C79" s="9">
        <f>C78+B79</f>
        <v/>
      </c>
    </row>
    <row r="80">
      <c r="A80" s="8" t="n">
        <v>79</v>
      </c>
      <c r="B80" s="9">
        <f>FLOOR(EXP_BASE*A80^EXP_POW,1)</f>
        <v/>
      </c>
      <c r="C80" s="9">
        <f>C79+B80</f>
        <v/>
      </c>
    </row>
    <row r="81">
      <c r="A81" s="8" t="n">
        <v>80</v>
      </c>
      <c r="B81" s="9">
        <f>FLOOR(EXP_BASE*A81^EXP_POW,1)</f>
        <v/>
      </c>
      <c r="C81" s="9">
        <f>C80+B81</f>
        <v/>
      </c>
    </row>
    <row r="82">
      <c r="A82" s="8" t="n">
        <v>81</v>
      </c>
      <c r="B82" s="9">
        <f>FLOOR(EXP_BASE*A82^EXP_POW,1)</f>
        <v/>
      </c>
      <c r="C82" s="9">
        <f>C81+B82</f>
        <v/>
      </c>
    </row>
    <row r="83">
      <c r="A83" s="8" t="n">
        <v>82</v>
      </c>
      <c r="B83" s="9">
        <f>FLOOR(EXP_BASE*A83^EXP_POW,1)</f>
        <v/>
      </c>
      <c r="C83" s="9">
        <f>C82+B83</f>
        <v/>
      </c>
    </row>
    <row r="84">
      <c r="A84" s="8" t="n">
        <v>83</v>
      </c>
      <c r="B84" s="9">
        <f>FLOOR(EXP_BASE*A84^EXP_POW,1)</f>
        <v/>
      </c>
      <c r="C84" s="9">
        <f>C83+B84</f>
        <v/>
      </c>
    </row>
    <row r="85">
      <c r="A85" s="8" t="n">
        <v>84</v>
      </c>
      <c r="B85" s="9">
        <f>FLOOR(EXP_BASE*A85^EXP_POW,1)</f>
        <v/>
      </c>
      <c r="C85" s="9">
        <f>C84+B85</f>
        <v/>
      </c>
    </row>
    <row r="86">
      <c r="A86" s="8" t="n">
        <v>85</v>
      </c>
      <c r="B86" s="9">
        <f>FLOOR(EXP_BASE*A86^EXP_POW,1)</f>
        <v/>
      </c>
      <c r="C86" s="9">
        <f>C85+B86</f>
        <v/>
      </c>
    </row>
    <row r="87">
      <c r="A87" s="8" t="n">
        <v>86</v>
      </c>
      <c r="B87" s="9">
        <f>FLOOR(EXP_BASE*A87^EXP_POW,1)</f>
        <v/>
      </c>
      <c r="C87" s="9">
        <f>C86+B87</f>
        <v/>
      </c>
    </row>
    <row r="88">
      <c r="A88" s="8" t="n">
        <v>87</v>
      </c>
      <c r="B88" s="9">
        <f>FLOOR(EXP_BASE*A88^EXP_POW,1)</f>
        <v/>
      </c>
      <c r="C88" s="9">
        <f>C87+B88</f>
        <v/>
      </c>
    </row>
    <row r="89">
      <c r="A89" s="8" t="n">
        <v>88</v>
      </c>
      <c r="B89" s="9">
        <f>FLOOR(EXP_BASE*A89^EXP_POW,1)</f>
        <v/>
      </c>
      <c r="C89" s="9">
        <f>C88+B89</f>
        <v/>
      </c>
    </row>
    <row r="90">
      <c r="A90" s="8" t="n">
        <v>89</v>
      </c>
      <c r="B90" s="9">
        <f>FLOOR(EXP_BASE*A90^EXP_POW,1)</f>
        <v/>
      </c>
      <c r="C90" s="9">
        <f>C89+B90</f>
        <v/>
      </c>
    </row>
    <row r="91">
      <c r="A91" s="8" t="n">
        <v>90</v>
      </c>
      <c r="B91" s="9">
        <f>FLOOR(EXP_BASE*A91^EXP_POW,1)</f>
        <v/>
      </c>
      <c r="C91" s="9">
        <f>C90+B91</f>
        <v/>
      </c>
    </row>
    <row r="92">
      <c r="A92" s="8" t="n">
        <v>91</v>
      </c>
      <c r="B92" s="9">
        <f>FLOOR(EXP_BASE*A92^EXP_POW,1)</f>
        <v/>
      </c>
      <c r="C92" s="9">
        <f>C91+B92</f>
        <v/>
      </c>
    </row>
    <row r="93">
      <c r="A93" s="8" t="n">
        <v>92</v>
      </c>
      <c r="B93" s="9">
        <f>FLOOR(EXP_BASE*A93^EXP_POW,1)</f>
        <v/>
      </c>
      <c r="C93" s="9">
        <f>C92+B93</f>
        <v/>
      </c>
    </row>
    <row r="94">
      <c r="A94" s="8" t="n">
        <v>93</v>
      </c>
      <c r="B94" s="9">
        <f>FLOOR(EXP_BASE*A94^EXP_POW,1)</f>
        <v/>
      </c>
      <c r="C94" s="9">
        <f>C93+B94</f>
        <v/>
      </c>
    </row>
    <row r="95">
      <c r="A95" s="8" t="n">
        <v>94</v>
      </c>
      <c r="B95" s="9">
        <f>FLOOR(EXP_BASE*A95^EXP_POW,1)</f>
        <v/>
      </c>
      <c r="C95" s="9">
        <f>C94+B95</f>
        <v/>
      </c>
    </row>
    <row r="96">
      <c r="A96" s="8" t="n">
        <v>95</v>
      </c>
      <c r="B96" s="9">
        <f>FLOOR(EXP_BASE*A96^EXP_POW,1)</f>
        <v/>
      </c>
      <c r="C96" s="9">
        <f>C95+B96</f>
        <v/>
      </c>
    </row>
    <row r="97">
      <c r="A97" s="8" t="n">
        <v>96</v>
      </c>
      <c r="B97" s="9">
        <f>FLOOR(EXP_BASE*A97^EXP_POW,1)</f>
        <v/>
      </c>
      <c r="C97" s="9">
        <f>C96+B97</f>
        <v/>
      </c>
    </row>
    <row r="98">
      <c r="A98" s="8" t="n">
        <v>97</v>
      </c>
      <c r="B98" s="9">
        <f>FLOOR(EXP_BASE*A98^EXP_POW,1)</f>
        <v/>
      </c>
      <c r="C98" s="9">
        <f>C97+B98</f>
        <v/>
      </c>
    </row>
    <row r="99">
      <c r="A99" s="8" t="n">
        <v>98</v>
      </c>
      <c r="B99" s="9">
        <f>FLOOR(EXP_BASE*A99^EXP_POW,1)</f>
        <v/>
      </c>
      <c r="C99" s="9">
        <f>C98+B99</f>
        <v/>
      </c>
    </row>
    <row r="100">
      <c r="A100" s="8" t="n">
        <v>99</v>
      </c>
      <c r="B100" s="9">
        <f>FLOOR(EXP_BASE*A100^EXP_POW,1)</f>
        <v/>
      </c>
      <c r="C100" s="9">
        <f>C99+B100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11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2" customWidth="1" min="18" max="18"/>
    <col width="6" customWidth="1" min="19" max="19"/>
    <col width="7" customWidth="1" min="20" max="20"/>
    <col width="10" customWidth="1" min="21" max="21"/>
    <col width="16" customWidth="1" min="22" max="22"/>
  </cols>
  <sheetData>
    <row r="1">
      <c r="A1" s="4" t="inlineStr">
        <is>
          <t>ID</t>
        </is>
      </c>
      <c r="B1" s="4" t="inlineStr">
        <is>
          <t>이름</t>
        </is>
      </c>
      <c r="C1" s="4" t="inlineStr">
        <is>
          <t>최소 Lv</t>
        </is>
      </c>
      <c r="D1" s="4" t="inlineStr">
        <is>
          <t>최대 Lv</t>
        </is>
      </c>
      <c r="E1" s="4" t="inlineStr">
        <is>
          <t>평균 Lv</t>
        </is>
      </c>
      <c r="F1" s="4" t="inlineStr">
        <is>
          <t>역할 배수</t>
        </is>
      </c>
      <c r="G1" s="4" t="inlineStr">
        <is>
          <t>보스 hp배수</t>
        </is>
      </c>
      <c r="H1" s="4" t="inlineStr">
        <is>
          <t>보스 exp배수</t>
        </is>
      </c>
      <c r="I1" s="4" t="inlineStr">
        <is>
          <t>보스 gold배수</t>
        </is>
      </c>
      <c r="J1" s="4" t="inlineStr">
        <is>
          <t>고정 체력</t>
        </is>
      </c>
      <c r="K1" s="4" t="inlineStr">
        <is>
          <t>고정 공격력</t>
        </is>
      </c>
      <c r="L1" s="4" t="inlineStr">
        <is>
          <t>고정 경험치</t>
        </is>
      </c>
      <c r="M1" s="4" t="inlineStr">
        <is>
          <t>체력</t>
        </is>
      </c>
      <c r="N1" s="4" t="inlineStr">
        <is>
          <t>공격력</t>
        </is>
      </c>
      <c r="O1" s="4" t="inlineStr">
        <is>
          <t>처치 경험치</t>
        </is>
      </c>
      <c r="P1" s="4" t="inlineStr">
        <is>
          <t>골드 최소</t>
        </is>
      </c>
      <c r="Q1" s="4" t="inlineStr">
        <is>
          <t>골드 최대</t>
        </is>
      </c>
      <c r="R1" s="4" t="inlineStr">
        <is>
          <t>레벨업까지 처치 수</t>
        </is>
      </c>
      <c r="S1" s="4" t="inlineStr">
        <is>
          <t>보스</t>
        </is>
      </c>
      <c r="T1" s="4" t="inlineStr">
        <is>
          <t>원거리</t>
        </is>
      </c>
      <c r="U1" s="4" t="inlineStr">
        <is>
          <t>특수기</t>
        </is>
      </c>
      <c r="V1" s="4" t="inlineStr">
        <is>
          <t>전리품</t>
        </is>
      </c>
    </row>
    <row r="2">
      <c r="A2" s="5" t="inlineStr">
        <is>
          <t>ashGoblin</t>
        </is>
      </c>
      <c r="B2" s="5" t="inlineStr">
        <is>
          <t>잿빛 해골병</t>
        </is>
      </c>
      <c r="C2" s="8" t="n">
        <v>1</v>
      </c>
      <c r="D2" s="8" t="n">
        <v>1</v>
      </c>
      <c r="E2" s="5">
        <f>C2</f>
        <v/>
      </c>
      <c r="F2" s="5" t="inlineStr"/>
      <c r="G2" s="5" t="inlineStr"/>
      <c r="H2" s="5" t="inlineStr"/>
      <c r="I2" s="5" t="inlineStr"/>
      <c r="J2" s="10" t="n">
        <v>48</v>
      </c>
      <c r="K2" s="10" t="n">
        <v>7</v>
      </c>
      <c r="L2" s="10" t="n">
        <v>22</v>
      </c>
      <c r="M2" s="9">
        <f>J2</f>
        <v/>
      </c>
      <c r="N2" s="9">
        <f>K2</f>
        <v/>
      </c>
      <c r="O2" s="9">
        <f>L2</f>
        <v/>
      </c>
      <c r="P2" s="10" t="n">
        <v>5</v>
      </c>
      <c r="Q2" s="10" t="n">
        <v>12</v>
      </c>
      <c r="R2" s="9">
        <f>IFERROR(ROUNDUP(INDEX(경험치!$B$2:$B$100,MIN(99,MAX(1,E2)))/O2,0),"-")</f>
        <v/>
      </c>
      <c r="S2" s="5" t="inlineStr"/>
      <c r="T2" s="5" t="inlineStr"/>
      <c r="U2" s="5" t="inlineStr"/>
      <c r="V2" s="5" t="inlineStr"/>
    </row>
    <row r="3">
      <c r="A3" s="5" t="inlineStr">
        <is>
          <t>wolfBoss</t>
        </is>
      </c>
      <c r="B3" s="5" t="inlineStr">
        <is>
          <t>타락한 해골 주술사</t>
        </is>
      </c>
      <c r="C3" s="8" t="n">
        <v>3</v>
      </c>
      <c r="D3" s="8" t="n">
        <v>3</v>
      </c>
      <c r="E3" s="5">
        <f>C3</f>
        <v/>
      </c>
      <c r="F3" s="5" t="inlineStr"/>
      <c r="G3" s="5" t="inlineStr"/>
      <c r="H3" s="5" t="inlineStr"/>
      <c r="I3" s="5" t="inlineStr"/>
      <c r="J3" s="10" t="n">
        <v>620</v>
      </c>
      <c r="K3" s="10" t="n">
        <v>13</v>
      </c>
      <c r="L3" s="10" t="n">
        <v>180</v>
      </c>
      <c r="M3" s="9">
        <f>J3</f>
        <v/>
      </c>
      <c r="N3" s="9">
        <f>K3</f>
        <v/>
      </c>
      <c r="O3" s="9">
        <f>L3</f>
        <v/>
      </c>
      <c r="P3" s="10" t="n">
        <v>120</v>
      </c>
      <c r="Q3" s="10" t="n">
        <v>120</v>
      </c>
      <c r="R3" s="9">
        <f>IFERROR(ROUNDUP(INDEX(경험치!$B$2:$B$100,MIN(99,MAX(1,E3)))/O3,0),"-")</f>
        <v/>
      </c>
      <c r="S3" s="5" t="inlineStr">
        <is>
          <t>O</t>
        </is>
      </c>
      <c r="T3" s="5" t="inlineStr"/>
      <c r="U3" s="5" t="inlineStr">
        <is>
          <t>wolf</t>
        </is>
      </c>
      <c r="V3" s="5" t="inlineStr"/>
    </row>
    <row r="4">
      <c r="A4" s="5" t="inlineStr">
        <is>
          <t>boar</t>
        </is>
      </c>
      <c r="B4" s="5" t="inlineStr">
        <is>
          <t>잠든 해골병</t>
        </is>
      </c>
      <c r="C4" s="8" t="n">
        <v>2</v>
      </c>
      <c r="D4" s="8" t="n">
        <v>2</v>
      </c>
      <c r="E4" s="5">
        <f>C4</f>
        <v/>
      </c>
      <c r="F4" s="5" t="inlineStr"/>
      <c r="G4" s="5" t="inlineStr"/>
      <c r="H4" s="5" t="inlineStr"/>
      <c r="I4" s="5" t="inlineStr"/>
      <c r="J4" s="10" t="n">
        <v>85</v>
      </c>
      <c r="K4" s="10" t="n">
        <v>8</v>
      </c>
      <c r="L4" s="10" t="n">
        <v>28</v>
      </c>
      <c r="M4" s="9">
        <f>J4</f>
        <v/>
      </c>
      <c r="N4" s="9">
        <f>K4</f>
        <v/>
      </c>
      <c r="O4" s="9">
        <f>L4</f>
        <v/>
      </c>
      <c r="P4" s="10" t="n">
        <v>12</v>
      </c>
      <c r="Q4" s="10" t="n">
        <v>24</v>
      </c>
      <c r="R4" s="9">
        <f>IFERROR(ROUNDUP(INDEX(경험치!$B$2:$B$100,MIN(99,MAX(1,E4)))/O4,0),"-")</f>
        <v/>
      </c>
      <c r="S4" s="5" t="inlineStr"/>
      <c r="T4" s="5" t="inlineStr"/>
      <c r="U4" s="5" t="inlineStr"/>
      <c r="V4" s="5" t="inlineStr"/>
    </row>
    <row r="5">
      <c r="A5" s="5" t="inlineStr">
        <is>
          <t>raider</t>
        </is>
      </c>
      <c r="B5" s="5" t="inlineStr">
        <is>
          <t>약탈자 해골병</t>
        </is>
      </c>
      <c r="C5" s="8" t="n">
        <v>3</v>
      </c>
      <c r="D5" s="8" t="n">
        <v>3</v>
      </c>
      <c r="E5" s="5">
        <f>C5</f>
        <v/>
      </c>
      <c r="F5" s="5" t="inlineStr"/>
      <c r="G5" s="5" t="inlineStr"/>
      <c r="H5" s="5" t="inlineStr"/>
      <c r="I5" s="5" t="inlineStr"/>
      <c r="J5" s="10" t="n">
        <v>105</v>
      </c>
      <c r="K5" s="10" t="n">
        <v>10</v>
      </c>
      <c r="L5" s="10" t="n">
        <v>36</v>
      </c>
      <c r="M5" s="9">
        <f>J5</f>
        <v/>
      </c>
      <c r="N5" s="9">
        <f>K5</f>
        <v/>
      </c>
      <c r="O5" s="9">
        <f>L5</f>
        <v/>
      </c>
      <c r="P5" s="10" t="n">
        <v>18</v>
      </c>
      <c r="Q5" s="10" t="n">
        <v>30</v>
      </c>
      <c r="R5" s="9">
        <f>IFERROR(ROUNDUP(INDEX(경험치!$B$2:$B$100,MIN(99,MAX(1,E5)))/O5,0),"-")</f>
        <v/>
      </c>
      <c r="S5" s="5" t="inlineStr"/>
      <c r="T5" s="5" t="inlineStr"/>
      <c r="U5" s="5" t="inlineStr"/>
      <c r="V5" s="5" t="inlineStr"/>
    </row>
    <row r="6">
      <c r="A6" s="5" t="inlineStr">
        <is>
          <t>slinger</t>
        </is>
      </c>
      <c r="B6" s="5" t="inlineStr">
        <is>
          <t>약탈자 해골 석궁병</t>
        </is>
      </c>
      <c r="C6" s="8" t="n">
        <v>4</v>
      </c>
      <c r="D6" s="8" t="n">
        <v>4</v>
      </c>
      <c r="E6" s="5">
        <f>C6</f>
        <v/>
      </c>
      <c r="F6" s="5" t="inlineStr"/>
      <c r="G6" s="5" t="inlineStr"/>
      <c r="H6" s="5" t="inlineStr"/>
      <c r="I6" s="5" t="inlineStr"/>
      <c r="J6" s="10" t="n">
        <v>80</v>
      </c>
      <c r="K6" s="10" t="n">
        <v>9</v>
      </c>
      <c r="L6" s="10" t="n">
        <v>36</v>
      </c>
      <c r="M6" s="9">
        <f>J6</f>
        <v/>
      </c>
      <c r="N6" s="9">
        <f>K6</f>
        <v/>
      </c>
      <c r="O6" s="9">
        <f>L6</f>
        <v/>
      </c>
      <c r="P6" s="10" t="n">
        <v>18</v>
      </c>
      <c r="Q6" s="10" t="n">
        <v>30</v>
      </c>
      <c r="R6" s="9">
        <f>IFERROR(ROUNDUP(INDEX(경험치!$B$2:$B$100,MIN(99,MAX(1,E6)))/O6,0),"-")</f>
        <v/>
      </c>
      <c r="S6" s="5" t="inlineStr"/>
      <c r="T6" s="5" t="inlineStr">
        <is>
          <t>O</t>
        </is>
      </c>
      <c r="U6" s="5" t="inlineStr"/>
      <c r="V6" s="5" t="inlineStr"/>
    </row>
    <row r="7">
      <c r="A7" s="5" t="inlineStr">
        <is>
          <t>ox</t>
        </is>
      </c>
      <c r="B7" s="5" t="inlineStr">
        <is>
          <t>타락한 해골 돌격병</t>
        </is>
      </c>
      <c r="C7" s="8" t="n">
        <v>5</v>
      </c>
      <c r="D7" s="8" t="n">
        <v>5</v>
      </c>
      <c r="E7" s="5">
        <f>C7</f>
        <v/>
      </c>
      <c r="F7" s="5" t="inlineStr"/>
      <c r="G7" s="5" t="inlineStr"/>
      <c r="H7" s="5" t="inlineStr"/>
      <c r="I7" s="5" t="inlineStr"/>
      <c r="J7" s="10" t="n">
        <v>280</v>
      </c>
      <c r="K7" s="10" t="n">
        <v>14</v>
      </c>
      <c r="L7" s="10" t="n">
        <v>62</v>
      </c>
      <c r="M7" s="9">
        <f>J7</f>
        <v/>
      </c>
      <c r="N7" s="9">
        <f>K7</f>
        <v/>
      </c>
      <c r="O7" s="9">
        <f>L7</f>
        <v/>
      </c>
      <c r="P7" s="10" t="n">
        <v>40</v>
      </c>
      <c r="Q7" s="10" t="n">
        <v>60</v>
      </c>
      <c r="R7" s="9">
        <f>IFERROR(ROUNDUP(INDEX(경험치!$B$2:$B$100,MIN(99,MAX(1,E7)))/O7,0),"-")</f>
        <v/>
      </c>
      <c r="S7" s="5" t="inlineStr"/>
      <c r="T7" s="5" t="inlineStr"/>
      <c r="U7" s="5" t="inlineStr">
        <is>
          <t>charge</t>
        </is>
      </c>
      <c r="V7" s="5" t="inlineStr"/>
    </row>
    <row r="8">
      <c r="A8" s="5" t="inlineStr">
        <is>
          <t>turka</t>
        </is>
      </c>
      <c r="B8" s="5" t="inlineStr">
        <is>
          <t>해골병 행동대장 투르카</t>
        </is>
      </c>
      <c r="C8" s="8" t="n">
        <v>6</v>
      </c>
      <c r="D8" s="8" t="n">
        <v>6</v>
      </c>
      <c r="E8" s="5">
        <f>C8</f>
        <v/>
      </c>
      <c r="F8" s="5" t="inlineStr"/>
      <c r="G8" s="5" t="inlineStr"/>
      <c r="H8" s="5" t="inlineStr"/>
      <c r="I8" s="5" t="inlineStr"/>
      <c r="J8" s="10" t="n">
        <v>1300</v>
      </c>
      <c r="K8" s="10" t="n">
        <v>17</v>
      </c>
      <c r="L8" s="10" t="n">
        <v>420</v>
      </c>
      <c r="M8" s="9">
        <f>J8</f>
        <v/>
      </c>
      <c r="N8" s="9">
        <f>K8</f>
        <v/>
      </c>
      <c r="O8" s="9">
        <f>L8</f>
        <v/>
      </c>
      <c r="P8" s="10" t="n">
        <v>500</v>
      </c>
      <c r="Q8" s="10" t="n">
        <v>500</v>
      </c>
      <c r="R8" s="9">
        <f>IFERROR(ROUNDUP(INDEX(경험치!$B$2:$B$100,MIN(99,MAX(1,E8)))/O8,0),"-")</f>
        <v/>
      </c>
      <c r="S8" s="5" t="inlineStr">
        <is>
          <t>O</t>
        </is>
      </c>
      <c r="T8" s="5" t="inlineStr"/>
      <c r="U8" s="5" t="inlineStr">
        <is>
          <t>whirl</t>
        </is>
      </c>
      <c r="V8" s="5" t="inlineStr"/>
    </row>
    <row r="9">
      <c r="A9" s="5" t="inlineStr">
        <is>
          <t>beastBoar</t>
        </is>
      </c>
      <c r="B9" s="5" t="inlineStr">
        <is>
          <t>야수 부족 사냥꾼</t>
        </is>
      </c>
      <c r="C9" s="8" t="n">
        <v>2</v>
      </c>
      <c r="D9" s="8" t="n">
        <v>8</v>
      </c>
      <c r="E9" s="5">
        <f>ROUND((C9+D9)/2,0)</f>
        <v/>
      </c>
      <c r="F9" s="8" t="n">
        <v>1</v>
      </c>
      <c r="G9" s="8" t="n">
        <v>1</v>
      </c>
      <c r="H9" s="8" t="n">
        <v>1</v>
      </c>
      <c r="I9" s="8" t="n">
        <v>1</v>
      </c>
      <c r="J9" s="5" t="inlineStr"/>
      <c r="K9" s="5" t="inlineStr"/>
      <c r="L9" s="5" t="inlineStr"/>
      <c r="M9" s="9">
        <f>ROUND((MOB_HP_K*E9^MOB_HP_POW*F9+MOB_HP_ADD)*G9,0)</f>
        <v/>
      </c>
      <c r="N9" s="9">
        <f>ROUND((MOB_ATK_BASE+MOB_ATK_K*E9^MOB_ATK_POW)*F9,0)</f>
        <v/>
      </c>
      <c r="O9" s="9">
        <f>ROUND(MOB_EXP_K*E9^MOB_EXP_POW*F9*H9,0)</f>
        <v/>
      </c>
      <c r="P9" s="9">
        <f>E9*GOLD_MIN*I9</f>
        <v/>
      </c>
      <c r="Q9" s="9">
        <f>E9*GOLD_MAX*I9</f>
        <v/>
      </c>
      <c r="R9" s="9">
        <f>IFERROR(ROUNDUP(INDEX(경험치!$B$2:$B$100,MIN(99,MAX(1,E9)))/O9,0),"-")</f>
        <v/>
      </c>
      <c r="S9" s="5" t="inlineStr"/>
      <c r="T9" s="5" t="inlineStr"/>
      <c r="U9" s="5" t="inlineStr"/>
      <c r="V9" s="5" t="inlineStr">
        <is>
          <t>짐승 가죽</t>
        </is>
      </c>
    </row>
    <row r="10">
      <c r="A10" s="5" t="inlineStr">
        <is>
          <t>beastWolf</t>
        </is>
      </c>
      <c r="B10" s="5" t="inlineStr">
        <is>
          <t>흑갈색 늑대 전사</t>
        </is>
      </c>
      <c r="C10" s="8" t="n">
        <v>8</v>
      </c>
      <c r="D10" s="8" t="n">
        <v>15</v>
      </c>
      <c r="E10" s="5">
        <f>ROUND((C10+D10)/2,0)</f>
        <v/>
      </c>
      <c r="F10" s="8" t="n">
        <v>1.1</v>
      </c>
      <c r="G10" s="8" t="n">
        <v>1</v>
      </c>
      <c r="H10" s="8" t="n">
        <v>1</v>
      </c>
      <c r="I10" s="8" t="n">
        <v>1</v>
      </c>
      <c r="J10" s="5" t="inlineStr"/>
      <c r="K10" s="5" t="inlineStr"/>
      <c r="L10" s="5" t="inlineStr"/>
      <c r="M10" s="9">
        <f>ROUND((MOB_HP_K*E10^MOB_HP_POW*F10+MOB_HP_ADD)*G10,0)</f>
        <v/>
      </c>
      <c r="N10" s="9">
        <f>ROUND((MOB_ATK_BASE+MOB_ATK_K*E10^MOB_ATK_POW)*F10,0)</f>
        <v/>
      </c>
      <c r="O10" s="9">
        <f>ROUND(MOB_EXP_K*E10^MOB_EXP_POW*F10*H10,0)</f>
        <v/>
      </c>
      <c r="P10" s="9">
        <f>E10*GOLD_MIN*I10</f>
        <v/>
      </c>
      <c r="Q10" s="9">
        <f>E10*GOLD_MAX*I10</f>
        <v/>
      </c>
      <c r="R10" s="9">
        <f>IFERROR(ROUNDUP(INDEX(경험치!$B$2:$B$100,MIN(99,MAX(1,E10)))/O10,0),"-")</f>
        <v/>
      </c>
      <c r="S10" s="5" t="inlineStr"/>
      <c r="T10" s="5" t="inlineStr"/>
      <c r="U10" s="5" t="inlineStr"/>
      <c r="V10" s="5" t="inlineStr">
        <is>
          <t>짐승 가죽</t>
        </is>
      </c>
    </row>
    <row r="11">
      <c r="A11" s="5" t="inlineStr">
        <is>
          <t>graveSkel</t>
        </is>
      </c>
      <c r="B11" s="5" t="inlineStr">
        <is>
          <t>해골 병사</t>
        </is>
      </c>
      <c r="C11" s="8" t="n">
        <v>15</v>
      </c>
      <c r="D11" s="8" t="n">
        <v>30</v>
      </c>
      <c r="E11" s="5">
        <f>ROUND((C11+D11)/2,0)</f>
        <v/>
      </c>
      <c r="F11" s="8" t="n">
        <v>1</v>
      </c>
      <c r="G11" s="8" t="n">
        <v>1</v>
      </c>
      <c r="H11" s="8" t="n">
        <v>1</v>
      </c>
      <c r="I11" s="8" t="n">
        <v>1</v>
      </c>
      <c r="J11" s="5" t="inlineStr"/>
      <c r="K11" s="5" t="inlineStr"/>
      <c r="L11" s="5" t="inlineStr"/>
      <c r="M11" s="9">
        <f>ROUND((MOB_HP_K*E11^MOB_HP_POW*F11+MOB_HP_ADD)*G11,0)</f>
        <v/>
      </c>
      <c r="N11" s="9">
        <f>ROUND((MOB_ATK_BASE+MOB_ATK_K*E11^MOB_ATK_POW)*F11,0)</f>
        <v/>
      </c>
      <c r="O11" s="9">
        <f>ROUND(MOB_EXP_K*E11^MOB_EXP_POW*F11*H11,0)</f>
        <v/>
      </c>
      <c r="P11" s="9">
        <f>E11*GOLD_MIN*I11</f>
        <v/>
      </c>
      <c r="Q11" s="9">
        <f>E11*GOLD_MAX*I11</f>
        <v/>
      </c>
      <c r="R11" s="9">
        <f>IFERROR(ROUNDUP(INDEX(경험치!$B$2:$B$100,MIN(99,MAX(1,E11)))/O11,0),"-")</f>
        <v/>
      </c>
      <c r="S11" s="5" t="inlineStr"/>
      <c r="T11" s="5" t="inlineStr"/>
      <c r="U11" s="5" t="inlineStr"/>
      <c r="V11" s="5" t="inlineStr">
        <is>
          <t>뼛조각</t>
        </is>
      </c>
    </row>
    <row r="12">
      <c r="A12" s="5" t="inlineStr">
        <is>
          <t>graveGhost</t>
        </is>
      </c>
      <c r="B12" s="5" t="inlineStr">
        <is>
          <t>억울한 원혼</t>
        </is>
      </c>
      <c r="C12" s="8" t="n">
        <v>28</v>
      </c>
      <c r="D12" s="8" t="n">
        <v>40</v>
      </c>
      <c r="E12" s="5">
        <f>ROUND((C12+D12)/2,0)</f>
        <v/>
      </c>
      <c r="F12" s="8" t="n">
        <v>0.9</v>
      </c>
      <c r="G12" s="8" t="n">
        <v>1</v>
      </c>
      <c r="H12" s="8" t="n">
        <v>1</v>
      </c>
      <c r="I12" s="8" t="n">
        <v>1</v>
      </c>
      <c r="J12" s="5" t="inlineStr"/>
      <c r="K12" s="5" t="inlineStr"/>
      <c r="L12" s="5" t="inlineStr"/>
      <c r="M12" s="9">
        <f>ROUND((MOB_HP_K*E12^MOB_HP_POW*F12+MOB_HP_ADD)*G12,0)</f>
        <v/>
      </c>
      <c r="N12" s="9">
        <f>ROUND((MOB_ATK_BASE+MOB_ATK_K*E12^MOB_ATK_POW)*F12,0)</f>
        <v/>
      </c>
      <c r="O12" s="9">
        <f>ROUND(MOB_EXP_K*E12^MOB_EXP_POW*F12*H12,0)</f>
        <v/>
      </c>
      <c r="P12" s="9">
        <f>E12*GOLD_MIN*I12</f>
        <v/>
      </c>
      <c r="Q12" s="9">
        <f>E12*GOLD_MAX*I12</f>
        <v/>
      </c>
      <c r="R12" s="9">
        <f>IFERROR(ROUNDUP(INDEX(경험치!$B$2:$B$100,MIN(99,MAX(1,E12)))/O12,0),"-")</f>
        <v/>
      </c>
      <c r="S12" s="5" t="inlineStr"/>
      <c r="T12" s="5" t="inlineStr">
        <is>
          <t>O</t>
        </is>
      </c>
      <c r="U12" s="5" t="inlineStr"/>
      <c r="V12" s="5" t="inlineStr">
        <is>
          <t>원혼의 눈물</t>
        </is>
      </c>
    </row>
    <row r="13">
      <c r="A13" s="5" t="inlineStr">
        <is>
          <t>clockDoll</t>
        </is>
      </c>
      <c r="B13" s="5" t="inlineStr">
        <is>
          <t>기계 인형</t>
        </is>
      </c>
      <c r="C13" s="8" t="n">
        <v>40</v>
      </c>
      <c r="D13" s="8" t="n">
        <v>56</v>
      </c>
      <c r="E13" s="5">
        <f>ROUND((C13+D13)/2,0)</f>
        <v/>
      </c>
      <c r="F13" s="8" t="n">
        <v>1</v>
      </c>
      <c r="G13" s="8" t="n">
        <v>1</v>
      </c>
      <c r="H13" s="8" t="n">
        <v>1</v>
      </c>
      <c r="I13" s="8" t="n">
        <v>1</v>
      </c>
      <c r="J13" s="5" t="inlineStr"/>
      <c r="K13" s="5" t="inlineStr"/>
      <c r="L13" s="5" t="inlineStr"/>
      <c r="M13" s="9">
        <f>ROUND((MOB_HP_K*E13^MOB_HP_POW*F13+MOB_HP_ADD)*G13,0)</f>
        <v/>
      </c>
      <c r="N13" s="9">
        <f>ROUND((MOB_ATK_BASE+MOB_ATK_K*E13^MOB_ATK_POW)*F13,0)</f>
        <v/>
      </c>
      <c r="O13" s="9">
        <f>ROUND(MOB_EXP_K*E13^MOB_EXP_POW*F13*H13,0)</f>
        <v/>
      </c>
      <c r="P13" s="9">
        <f>E13*GOLD_MIN*I13</f>
        <v/>
      </c>
      <c r="Q13" s="9">
        <f>E13*GOLD_MAX*I13</f>
        <v/>
      </c>
      <c r="R13" s="9">
        <f>IFERROR(ROUNDUP(INDEX(경험치!$B$2:$B$100,MIN(99,MAX(1,E13)))/O13,0),"-")</f>
        <v/>
      </c>
      <c r="S13" s="5" t="inlineStr"/>
      <c r="T13" s="5" t="inlineStr"/>
      <c r="U13" s="5" t="inlineStr"/>
      <c r="V13" s="5" t="inlineStr">
        <is>
          <t>녹슨 태엽</t>
        </is>
      </c>
    </row>
    <row r="14">
      <c r="A14" s="5" t="inlineStr">
        <is>
          <t>clockGolem</t>
        </is>
      </c>
      <c r="B14" s="5" t="inlineStr">
        <is>
          <t>파괴된 태엽 골렘</t>
        </is>
      </c>
      <c r="C14" s="8" t="n">
        <v>56</v>
      </c>
      <c r="D14" s="8" t="n">
        <v>70</v>
      </c>
      <c r="E14" s="5">
        <f>ROUND((C14+D14)/2,0)</f>
        <v/>
      </c>
      <c r="F14" s="8" t="n">
        <v>1.6</v>
      </c>
      <c r="G14" s="8" t="n">
        <v>1</v>
      </c>
      <c r="H14" s="8" t="n">
        <v>1</v>
      </c>
      <c r="I14" s="8" t="n">
        <v>1</v>
      </c>
      <c r="J14" s="5" t="inlineStr"/>
      <c r="K14" s="5" t="inlineStr"/>
      <c r="L14" s="5" t="inlineStr"/>
      <c r="M14" s="9">
        <f>ROUND((MOB_HP_K*E14^MOB_HP_POW*F14+MOB_HP_ADD)*G14,0)</f>
        <v/>
      </c>
      <c r="N14" s="9">
        <f>ROUND((MOB_ATK_BASE+MOB_ATK_K*E14^MOB_ATK_POW)*F14,0)</f>
        <v/>
      </c>
      <c r="O14" s="9">
        <f>ROUND(MOB_EXP_K*E14^MOB_EXP_POW*F14*H14,0)</f>
        <v/>
      </c>
      <c r="P14" s="9">
        <f>E14*GOLD_MIN*I14</f>
        <v/>
      </c>
      <c r="Q14" s="9">
        <f>E14*GOLD_MAX*I14</f>
        <v/>
      </c>
      <c r="R14" s="9">
        <f>IFERROR(ROUNDUP(INDEX(경험치!$B$2:$B$100,MIN(99,MAX(1,E14)))/O14,0),"-")</f>
        <v/>
      </c>
      <c r="S14" s="5" t="inlineStr"/>
      <c r="T14" s="5" t="inlineStr"/>
      <c r="U14" s="5" t="inlineStr">
        <is>
          <t>slam</t>
        </is>
      </c>
      <c r="V14" s="5" t="inlineStr">
        <is>
          <t>골렘 핵</t>
        </is>
      </c>
    </row>
    <row r="15">
      <c r="A15" s="5" t="inlineStr">
        <is>
          <t>asuraGoblin</t>
        </is>
      </c>
      <c r="B15" s="5" t="inlineStr">
        <is>
          <t>붉은 눈 도깨비</t>
        </is>
      </c>
      <c r="C15" s="8" t="n">
        <v>70</v>
      </c>
      <c r="D15" s="8" t="n">
        <v>84</v>
      </c>
      <c r="E15" s="5">
        <f>ROUND((C15+D15)/2,0)</f>
        <v/>
      </c>
      <c r="F15" s="8" t="n">
        <v>1.1</v>
      </c>
      <c r="G15" s="8" t="n">
        <v>1</v>
      </c>
      <c r="H15" s="8" t="n">
        <v>1</v>
      </c>
      <c r="I15" s="8" t="n">
        <v>1</v>
      </c>
      <c r="J15" s="5" t="inlineStr"/>
      <c r="K15" s="5" t="inlineStr"/>
      <c r="L15" s="5" t="inlineStr"/>
      <c r="M15" s="9">
        <f>ROUND((MOB_HP_K*E15^MOB_HP_POW*F15+MOB_HP_ADD)*G15,0)</f>
        <v/>
      </c>
      <c r="N15" s="9">
        <f>ROUND((MOB_ATK_BASE+MOB_ATK_K*E15^MOB_ATK_POW)*F15,0)</f>
        <v/>
      </c>
      <c r="O15" s="9">
        <f>ROUND(MOB_EXP_K*E15^MOB_EXP_POW*F15*H15,0)</f>
        <v/>
      </c>
      <c r="P15" s="9">
        <f>E15*GOLD_MIN*I15</f>
        <v/>
      </c>
      <c r="Q15" s="9">
        <f>E15*GOLD_MAX*I15</f>
        <v/>
      </c>
      <c r="R15" s="9">
        <f>IFERROR(ROUNDUP(INDEX(경험치!$B$2:$B$100,MIN(99,MAX(1,E15)))/O15,0),"-")</f>
        <v/>
      </c>
      <c r="S15" s="5" t="inlineStr"/>
      <c r="T15" s="5" t="inlineStr"/>
      <c r="U15" s="5" t="inlineStr"/>
      <c r="V15" s="5" t="inlineStr">
        <is>
          <t>도깨비 뿔</t>
        </is>
      </c>
    </row>
    <row r="16">
      <c r="A16" s="5" t="inlineStr">
        <is>
          <t>asuraWarrior</t>
        </is>
      </c>
      <c r="B16" s="5" t="inlineStr">
        <is>
          <t>아수라 전사</t>
        </is>
      </c>
      <c r="C16" s="8" t="n">
        <v>84</v>
      </c>
      <c r="D16" s="8" t="n">
        <v>97</v>
      </c>
      <c r="E16" s="5">
        <f>ROUND((C16+D16)/2,0)</f>
        <v/>
      </c>
      <c r="F16" s="8" t="n">
        <v>1.3</v>
      </c>
      <c r="G16" s="8" t="n">
        <v>1</v>
      </c>
      <c r="H16" s="8" t="n">
        <v>1</v>
      </c>
      <c r="I16" s="8" t="n">
        <v>1</v>
      </c>
      <c r="J16" s="5" t="inlineStr"/>
      <c r="K16" s="5" t="inlineStr"/>
      <c r="L16" s="5" t="inlineStr"/>
      <c r="M16" s="9">
        <f>ROUND((MOB_HP_K*E16^MOB_HP_POW*F16+MOB_HP_ADD)*G16,0)</f>
        <v/>
      </c>
      <c r="N16" s="9">
        <f>ROUND((MOB_ATK_BASE+MOB_ATK_K*E16^MOB_ATK_POW)*F16,0)</f>
        <v/>
      </c>
      <c r="O16" s="9">
        <f>ROUND(MOB_EXP_K*E16^MOB_EXP_POW*F16*H16,0)</f>
        <v/>
      </c>
      <c r="P16" s="9">
        <f>E16*GOLD_MIN*I16</f>
        <v/>
      </c>
      <c r="Q16" s="9">
        <f>E16*GOLD_MAX*I16</f>
        <v/>
      </c>
      <c r="R16" s="9">
        <f>IFERROR(ROUNDUP(INDEX(경험치!$B$2:$B$100,MIN(99,MAX(1,E16)))/O16,0),"-")</f>
        <v/>
      </c>
      <c r="S16" s="5" t="inlineStr"/>
      <c r="T16" s="5" t="inlineStr"/>
      <c r="U16" s="5" t="inlineStr">
        <is>
          <t>whirl</t>
        </is>
      </c>
      <c r="V16" s="5" t="inlineStr">
        <is>
          <t>아수라의 혼</t>
        </is>
      </c>
    </row>
    <row r="17">
      <c r="A17" s="5" t="inlineStr">
        <is>
          <t>beastsBoss</t>
        </is>
      </c>
      <c r="B17" s="5" t="inlineStr">
        <is>
          <t>고목의 파수꾼 베르단</t>
        </is>
      </c>
      <c r="C17" s="8" t="n">
        <v>16</v>
      </c>
      <c r="D17" s="8" t="n">
        <v>16</v>
      </c>
      <c r="E17" s="5">
        <f>ROUND((C17+D17)/2,0)</f>
        <v/>
      </c>
      <c r="F17" s="8" t="n">
        <v>1.5</v>
      </c>
      <c r="G17" s="8" t="n">
        <v>14</v>
      </c>
      <c r="H17" s="8" t="n">
        <v>6</v>
      </c>
      <c r="I17" s="8" t="n">
        <v>15</v>
      </c>
      <c r="J17" s="5" t="inlineStr"/>
      <c r="K17" s="5" t="inlineStr"/>
      <c r="L17" s="5" t="inlineStr"/>
      <c r="M17" s="9">
        <f>ROUND((MOB_HP_K*E17^MOB_HP_POW*F17+MOB_HP_ADD)*G17,0)</f>
        <v/>
      </c>
      <c r="N17" s="9">
        <f>ROUND((MOB_ATK_BASE+MOB_ATK_K*E17^MOB_ATK_POW)*F17,0)</f>
        <v/>
      </c>
      <c r="O17" s="9">
        <f>ROUND(MOB_EXP_K*E17^MOB_EXP_POW*F17*H17,0)</f>
        <v/>
      </c>
      <c r="P17" s="9">
        <f>E17*GOLD_MIN*I17</f>
        <v/>
      </c>
      <c r="Q17" s="9">
        <f>E17*GOLD_MAX*I17</f>
        <v/>
      </c>
      <c r="R17" s="9">
        <f>IFERROR(ROUNDUP(INDEX(경험치!$B$2:$B$100,MIN(99,MAX(1,E17)))/O17,0),"-")</f>
        <v/>
      </c>
      <c r="S17" s="5" t="inlineStr">
        <is>
          <t>O</t>
        </is>
      </c>
      <c r="T17" s="5" t="inlineStr"/>
      <c r="U17" s="5" t="inlineStr">
        <is>
          <t>slam</t>
        </is>
      </c>
      <c r="V17" s="5" t="inlineStr">
        <is>
          <t>고목의 심장</t>
        </is>
      </c>
    </row>
    <row r="18">
      <c r="A18" s="5" t="inlineStr">
        <is>
          <t>graveBoss</t>
        </is>
      </c>
      <c r="B18" s="5" t="inlineStr">
        <is>
          <t>진홍의 망령기사</t>
        </is>
      </c>
      <c r="C18" s="8" t="n">
        <v>41</v>
      </c>
      <c r="D18" s="8" t="n">
        <v>41</v>
      </c>
      <c r="E18" s="5">
        <f>ROUND((C18+D18)/2,0)</f>
        <v/>
      </c>
      <c r="F18" s="8" t="n">
        <v>1.5</v>
      </c>
      <c r="G18" s="8" t="n">
        <v>14</v>
      </c>
      <c r="H18" s="8" t="n">
        <v>6</v>
      </c>
      <c r="I18" s="8" t="n">
        <v>15</v>
      </c>
      <c r="J18" s="5" t="inlineStr"/>
      <c r="K18" s="5" t="inlineStr"/>
      <c r="L18" s="5" t="inlineStr"/>
      <c r="M18" s="9">
        <f>ROUND((MOB_HP_K*E18^MOB_HP_POW*F18+MOB_HP_ADD)*G18,0)</f>
        <v/>
      </c>
      <c r="N18" s="9">
        <f>ROUND((MOB_ATK_BASE+MOB_ATK_K*E18^MOB_ATK_POW)*F18,0)</f>
        <v/>
      </c>
      <c r="O18" s="9">
        <f>ROUND(MOB_EXP_K*E18^MOB_EXP_POW*F18*H18,0)</f>
        <v/>
      </c>
      <c r="P18" s="9">
        <f>E18*GOLD_MIN*I18</f>
        <v/>
      </c>
      <c r="Q18" s="9">
        <f>E18*GOLD_MAX*I18</f>
        <v/>
      </c>
      <c r="R18" s="9">
        <f>IFERROR(ROUNDUP(INDEX(경험치!$B$2:$B$100,MIN(99,MAX(1,E18)))/O18,0),"-")</f>
        <v/>
      </c>
      <c r="S18" s="5" t="inlineStr">
        <is>
          <t>O</t>
        </is>
      </c>
      <c r="T18" s="5" t="inlineStr"/>
      <c r="U18" s="5" t="inlineStr">
        <is>
          <t>whirl</t>
        </is>
      </c>
      <c r="V18" s="5" t="inlineStr">
        <is>
          <t>망령기사의 투구</t>
        </is>
      </c>
    </row>
    <row r="19">
      <c r="A19" s="5" t="inlineStr">
        <is>
          <t>clockBoss</t>
        </is>
      </c>
      <c r="B19" s="5" t="inlineStr">
        <is>
          <t>황혼의 여제</t>
        </is>
      </c>
      <c r="C19" s="8" t="n">
        <v>71</v>
      </c>
      <c r="D19" s="8" t="n">
        <v>71</v>
      </c>
      <c r="E19" s="5">
        <f>ROUND((C19+D19)/2,0)</f>
        <v/>
      </c>
      <c r="F19" s="8" t="n">
        <v>1.5</v>
      </c>
      <c r="G19" s="8" t="n">
        <v>14</v>
      </c>
      <c r="H19" s="8" t="n">
        <v>6</v>
      </c>
      <c r="I19" s="8" t="n">
        <v>15</v>
      </c>
      <c r="J19" s="5" t="inlineStr"/>
      <c r="K19" s="5" t="inlineStr"/>
      <c r="L19" s="5" t="inlineStr"/>
      <c r="M19" s="9">
        <f>ROUND((MOB_HP_K*E19^MOB_HP_POW*F19+MOB_HP_ADD)*G19,0)</f>
        <v/>
      </c>
      <c r="N19" s="9">
        <f>ROUND((MOB_ATK_BASE+MOB_ATK_K*E19^MOB_ATK_POW)*F19,0)</f>
        <v/>
      </c>
      <c r="O19" s="9">
        <f>ROUND(MOB_EXP_K*E19^MOB_EXP_POW*F19*H19,0)</f>
        <v/>
      </c>
      <c r="P19" s="9">
        <f>E19*GOLD_MIN*I19</f>
        <v/>
      </c>
      <c r="Q19" s="9">
        <f>E19*GOLD_MAX*I19</f>
        <v/>
      </c>
      <c r="R19" s="9">
        <f>IFERROR(ROUNDUP(INDEX(경험치!$B$2:$B$100,MIN(99,MAX(1,E19)))/O19,0),"-")</f>
        <v/>
      </c>
      <c r="S19" s="5" t="inlineStr">
        <is>
          <t>O</t>
        </is>
      </c>
      <c r="T19" s="5" t="inlineStr">
        <is>
          <t>O</t>
        </is>
      </c>
      <c r="U19" s="5" t="inlineStr">
        <is>
          <t>arcane</t>
        </is>
      </c>
      <c r="V19" s="5" t="inlineStr">
        <is>
          <t>황금 태엽 날개</t>
        </is>
      </c>
    </row>
    <row r="20">
      <c r="A20" s="5" t="inlineStr">
        <is>
          <t>asuraBoss</t>
        </is>
      </c>
      <c r="B20" s="5" t="inlineStr">
        <is>
          <t>강철턱 도깨비 대장</t>
        </is>
      </c>
      <c r="C20" s="8" t="n">
        <v>98</v>
      </c>
      <c r="D20" s="8" t="n">
        <v>98</v>
      </c>
      <c r="E20" s="5">
        <f>ROUND((C20+D20)/2,0)</f>
        <v/>
      </c>
      <c r="F20" s="8" t="n">
        <v>1.5</v>
      </c>
      <c r="G20" s="8" t="n">
        <v>14</v>
      </c>
      <c r="H20" s="8" t="n">
        <v>6</v>
      </c>
      <c r="I20" s="8" t="n">
        <v>15</v>
      </c>
      <c r="J20" s="5" t="inlineStr"/>
      <c r="K20" s="5" t="inlineStr"/>
      <c r="L20" s="5" t="inlineStr"/>
      <c r="M20" s="9">
        <f>ROUND((MOB_HP_K*E20^MOB_HP_POW*F20+MOB_HP_ADD)*G20,0)</f>
        <v/>
      </c>
      <c r="N20" s="9">
        <f>ROUND((MOB_ATK_BASE+MOB_ATK_K*E20^MOB_ATK_POW)*F20,0)</f>
        <v/>
      </c>
      <c r="O20" s="9">
        <f>ROUND(MOB_EXP_K*E20^MOB_EXP_POW*F20*H20,0)</f>
        <v/>
      </c>
      <c r="P20" s="9">
        <f>E20*GOLD_MIN*I20</f>
        <v/>
      </c>
      <c r="Q20" s="9">
        <f>E20*GOLD_MAX*I20</f>
        <v/>
      </c>
      <c r="R20" s="9">
        <f>IFERROR(ROUNDUP(INDEX(경험치!$B$2:$B$100,MIN(99,MAX(1,E20)))/O20,0),"-")</f>
        <v/>
      </c>
      <c r="S20" s="5" t="inlineStr">
        <is>
          <t>O</t>
        </is>
      </c>
      <c r="T20" s="5" t="inlineStr"/>
      <c r="U20" s="5" t="inlineStr">
        <is>
          <t>whirl</t>
        </is>
      </c>
      <c r="V20" s="5" t="inlineStr">
        <is>
          <t>강철 턱뼈</t>
        </is>
      </c>
    </row>
    <row r="21">
      <c r="A21" s="5" t="inlineStr">
        <is>
          <t>graveLord</t>
        </is>
      </c>
      <c r="B21" s="5" t="inlineStr">
        <is>
          <t>진홍 군주</t>
        </is>
      </c>
      <c r="C21" s="8" t="n">
        <v>45</v>
      </c>
      <c r="D21" s="8" t="n">
        <v>45</v>
      </c>
      <c r="E21" s="5">
        <f>ROUND((C21+D21)/2,0)</f>
        <v/>
      </c>
      <c r="F21" s="8" t="n">
        <v>1.8</v>
      </c>
      <c r="G21" s="8" t="n">
        <v>22</v>
      </c>
      <c r="H21" s="8" t="n">
        <v>9</v>
      </c>
      <c r="I21" s="8" t="n">
        <v>22</v>
      </c>
      <c r="J21" s="5" t="inlineStr"/>
      <c r="K21" s="5" t="inlineStr"/>
      <c r="L21" s="5" t="inlineStr"/>
      <c r="M21" s="9">
        <f>ROUND((MOB_HP_K*E21^MOB_HP_POW*F21+MOB_HP_ADD)*G21,0)</f>
        <v/>
      </c>
      <c r="N21" s="9">
        <f>ROUND((MOB_ATK_BASE+MOB_ATK_K*E21^MOB_ATK_POW)*F21,0)</f>
        <v/>
      </c>
      <c r="O21" s="9">
        <f>ROUND(MOB_EXP_K*E21^MOB_EXP_POW*F21*H21,0)</f>
        <v/>
      </c>
      <c r="P21" s="9">
        <f>E21*GOLD_MIN*I21</f>
        <v/>
      </c>
      <c r="Q21" s="9">
        <f>E21*GOLD_MAX*I21</f>
        <v/>
      </c>
      <c r="R21" s="9">
        <f>IFERROR(ROUNDUP(INDEX(경험치!$B$2:$B$100,MIN(99,MAX(1,E21)))/O21,0),"-")</f>
        <v/>
      </c>
      <c r="S21" s="5" t="inlineStr">
        <is>
          <t>O</t>
        </is>
      </c>
      <c r="T21" s="5" t="inlineStr"/>
      <c r="U21" s="5" t="inlineStr">
        <is>
          <t>slam</t>
        </is>
      </c>
      <c r="V21" s="5" t="inlineStr">
        <is>
          <t>진홍 군주의 룬검</t>
        </is>
      </c>
    </row>
    <row r="22">
      <c r="A22" s="5" t="inlineStr">
        <is>
          <t>asuraGate</t>
        </is>
      </c>
      <c r="B22" s="5" t="inlineStr">
        <is>
          <t>지옥 룬검 군주</t>
        </is>
      </c>
      <c r="C22" s="8" t="n">
        <v>97</v>
      </c>
      <c r="D22" s="8" t="n">
        <v>97</v>
      </c>
      <c r="E22" s="5">
        <f>ROUND((C22+D22)/2,0)</f>
        <v/>
      </c>
      <c r="F22" s="8" t="n">
        <v>1.9</v>
      </c>
      <c r="G22" s="8" t="n">
        <v>24</v>
      </c>
      <c r="H22" s="8" t="n">
        <v>9</v>
      </c>
      <c r="I22" s="8" t="n">
        <v>24</v>
      </c>
      <c r="J22" s="5" t="inlineStr"/>
      <c r="K22" s="5" t="inlineStr"/>
      <c r="L22" s="5" t="inlineStr"/>
      <c r="M22" s="9">
        <f>ROUND((MOB_HP_K*E22^MOB_HP_POW*F22+MOB_HP_ADD)*G22,0)</f>
        <v/>
      </c>
      <c r="N22" s="9">
        <f>ROUND((MOB_ATK_BASE+MOB_ATK_K*E22^MOB_ATK_POW)*F22,0)</f>
        <v/>
      </c>
      <c r="O22" s="9">
        <f>ROUND(MOB_EXP_K*E22^MOB_EXP_POW*F22*H22,0)</f>
        <v/>
      </c>
      <c r="P22" s="9">
        <f>E22*GOLD_MIN*I22</f>
        <v/>
      </c>
      <c r="Q22" s="9">
        <f>E22*GOLD_MAX*I22</f>
        <v/>
      </c>
      <c r="R22" s="9">
        <f>IFERROR(ROUNDUP(INDEX(경험치!$B$2:$B$100,MIN(99,MAX(1,E22)))/O22,0),"-")</f>
        <v/>
      </c>
      <c r="S22" s="5" t="inlineStr">
        <is>
          <t>O</t>
        </is>
      </c>
      <c r="T22" s="5" t="inlineStr"/>
      <c r="U22" s="5" t="inlineStr">
        <is>
          <t>whirl</t>
        </is>
      </c>
      <c r="V22" s="5" t="inlineStr">
        <is>
          <t>지옥의 룬 파편</t>
        </is>
      </c>
    </row>
    <row r="23">
      <c r="A23" s="5" t="inlineStr">
        <is>
          <t>barakas</t>
        </is>
      </c>
      <c r="B23" s="5" t="inlineStr">
        <is>
          <t>멸세제룡 바라카스</t>
        </is>
      </c>
      <c r="C23" s="8" t="n">
        <v>99</v>
      </c>
      <c r="D23" s="8" t="n">
        <v>99</v>
      </c>
      <c r="E23" s="5">
        <f>C23</f>
        <v/>
      </c>
      <c r="F23" s="5" t="inlineStr"/>
      <c r="G23" s="5" t="inlineStr"/>
      <c r="H23" s="5" t="inlineStr"/>
      <c r="I23" s="5" t="inlineStr"/>
      <c r="J23" s="10" t="n">
        <v>1500000</v>
      </c>
      <c r="K23" s="10" t="n">
        <v>1400</v>
      </c>
      <c r="L23" s="10" t="n">
        <v>6000000</v>
      </c>
      <c r="M23" s="9">
        <f>J23</f>
        <v/>
      </c>
      <c r="N23" s="9">
        <f>K23</f>
        <v/>
      </c>
      <c r="O23" s="9">
        <f>L23</f>
        <v/>
      </c>
      <c r="P23" s="10" t="n">
        <v>250000</v>
      </c>
      <c r="Q23" s="10" t="n">
        <v>500000</v>
      </c>
      <c r="R23" s="9">
        <f>IFERROR(ROUNDUP(INDEX(경험치!$B$2:$B$100,MIN(99,MAX(1,E23)))/O23,0),"-")</f>
        <v/>
      </c>
      <c r="S23" s="5" t="inlineStr">
        <is>
          <t>O</t>
        </is>
      </c>
      <c r="T23" s="5" t="inlineStr"/>
      <c r="U23" s="5" t="inlineStr">
        <is>
          <t>barakas</t>
        </is>
      </c>
      <c r="V23" s="5" t="inlineStr"/>
    </row>
    <row r="24">
      <c r="A24" s="5" t="inlineStr">
        <is>
          <t>bloodShaman</t>
        </is>
      </c>
      <c r="B24" s="5" t="inlineStr">
        <is>
          <t>용혈 주술사</t>
        </is>
      </c>
      <c r="C24" s="8" t="n">
        <v>99</v>
      </c>
      <c r="D24" s="8" t="n">
        <v>99</v>
      </c>
      <c r="E24" s="5">
        <f>C24</f>
        <v/>
      </c>
      <c r="F24" s="5" t="inlineStr"/>
      <c r="G24" s="5" t="inlineStr"/>
      <c r="H24" s="5" t="inlineStr"/>
      <c r="I24" s="5" t="inlineStr"/>
      <c r="J24" s="10" t="n">
        <v>60000</v>
      </c>
      <c r="K24" s="10" t="n">
        <v>520</v>
      </c>
      <c r="L24" s="10" t="n">
        <v>30000</v>
      </c>
      <c r="M24" s="9">
        <f>J24</f>
        <v/>
      </c>
      <c r="N24" s="9">
        <f>K24</f>
        <v/>
      </c>
      <c r="O24" s="9">
        <f>L24</f>
        <v/>
      </c>
      <c r="P24" s="10" t="n">
        <v>2000</v>
      </c>
      <c r="Q24" s="10" t="n">
        <v>4000</v>
      </c>
      <c r="R24" s="9">
        <f>IFERROR(ROUNDUP(INDEX(경험치!$B$2:$B$100,MIN(99,MAX(1,E24)))/O24,0),"-")</f>
        <v/>
      </c>
      <c r="S24" s="5" t="inlineStr"/>
      <c r="T24" s="5" t="inlineStr">
        <is>
          <t>O</t>
        </is>
      </c>
      <c r="U24" s="5" t="inlineStr"/>
      <c r="V24" s="5" t="inlineStr"/>
    </row>
    <row r="25">
      <c r="A25" s="5" t="inlineStr">
        <is>
          <t>deepCrawler</t>
        </is>
      </c>
      <c r="B25" s="5" t="inlineStr">
        <is>
          <t>심해의 기어오르는 자</t>
        </is>
      </c>
      <c r="C25" s="8" t="n">
        <v>96</v>
      </c>
      <c r="D25" s="8" t="n">
        <v>99</v>
      </c>
      <c r="E25" s="5">
        <f>ROUND((C25+D25)/2,0)</f>
        <v/>
      </c>
      <c r="F25" s="8" t="n">
        <v>1.1</v>
      </c>
      <c r="G25" s="8" t="n">
        <v>1</v>
      </c>
      <c r="H25" s="8" t="n">
        <v>1</v>
      </c>
      <c r="I25" s="8" t="n">
        <v>1</v>
      </c>
      <c r="J25" s="5" t="inlineStr"/>
      <c r="K25" s="5" t="inlineStr"/>
      <c r="L25" s="5" t="inlineStr"/>
      <c r="M25" s="9">
        <f>ROUND((MOB_HP_K*E25^MOB_HP_POW*F25+MOB_HP_ADD)*G25,0)</f>
        <v/>
      </c>
      <c r="N25" s="9">
        <f>ROUND((MOB_ATK_BASE+MOB_ATK_K*E25^MOB_ATK_POW)*F25,0)</f>
        <v/>
      </c>
      <c r="O25" s="9">
        <f>ROUND(MOB_EXP_K*E25^MOB_EXP_POW*F25*H25,0)</f>
        <v/>
      </c>
      <c r="P25" s="9">
        <f>E25*GOLD_MIN*I25</f>
        <v/>
      </c>
      <c r="Q25" s="9">
        <f>E25*GOLD_MAX*I25</f>
        <v/>
      </c>
      <c r="R25" s="9">
        <f>IFERROR(ROUNDUP(INDEX(경험치!$B$2:$B$100,MIN(99,MAX(1,E25)))/O25,0),"-")</f>
        <v/>
      </c>
      <c r="S25" s="5" t="inlineStr"/>
      <c r="T25" s="5" t="inlineStr"/>
      <c r="U25" s="5" t="inlineStr"/>
      <c r="V25" s="5" t="inlineStr">
        <is>
          <t>심해의 비늘</t>
        </is>
      </c>
    </row>
    <row r="26">
      <c r="A26" s="5" t="inlineStr">
        <is>
          <t>kraken</t>
        </is>
      </c>
      <c r="B26" s="5" t="inlineStr">
        <is>
          <t>심해의 인어 괴물 세이렌</t>
        </is>
      </c>
      <c r="C26" s="8" t="n">
        <v>99</v>
      </c>
      <c r="D26" s="8" t="n">
        <v>99</v>
      </c>
      <c r="E26" s="5">
        <f>C26</f>
        <v/>
      </c>
      <c r="F26" s="5" t="inlineStr"/>
      <c r="G26" s="5" t="inlineStr"/>
      <c r="H26" s="5" t="inlineStr"/>
      <c r="I26" s="5" t="inlineStr"/>
      <c r="J26" s="10" t="n">
        <v>800000</v>
      </c>
      <c r="K26" s="10" t="n">
        <v>1100</v>
      </c>
      <c r="L26" s="10" t="n">
        <v>3000000</v>
      </c>
      <c r="M26" s="9">
        <f>J26</f>
        <v/>
      </c>
      <c r="N26" s="9">
        <f>K26</f>
        <v/>
      </c>
      <c r="O26" s="9">
        <f>L26</f>
        <v/>
      </c>
      <c r="P26" s="10" t="n">
        <v>80000</v>
      </c>
      <c r="Q26" s="10" t="n">
        <v>150000</v>
      </c>
      <c r="R26" s="9">
        <f>IFERROR(ROUNDUP(INDEX(경험치!$B$2:$B$100,MIN(99,MAX(1,E26)))/O26,0),"-")</f>
        <v/>
      </c>
      <c r="S26" s="5" t="inlineStr">
        <is>
          <t>O</t>
        </is>
      </c>
      <c r="T26" s="5" t="inlineStr"/>
      <c r="U26" s="5" t="inlineStr"/>
      <c r="V26" s="5" t="inlineStr"/>
    </row>
    <row r="27">
      <c r="A27" s="5" t="inlineStr">
        <is>
          <t>krakenArm</t>
        </is>
      </c>
      <c r="B27" s="5" t="inlineStr">
        <is>
          <t>세이렌의 해일 결정</t>
        </is>
      </c>
      <c r="C27" s="8" t="n">
        <v>99</v>
      </c>
      <c r="D27" s="8" t="n">
        <v>99</v>
      </c>
      <c r="E27" s="5">
        <f>ROUND((C27+D27)/2,0)</f>
        <v/>
      </c>
      <c r="F27" s="8" t="n">
        <v>0.9</v>
      </c>
      <c r="G27" s="8" t="n">
        <v>7</v>
      </c>
      <c r="H27" s="8" t="n">
        <v>1</v>
      </c>
      <c r="I27" s="8" t="n">
        <v>1</v>
      </c>
      <c r="J27" s="5" t="inlineStr"/>
      <c r="K27" s="5" t="inlineStr"/>
      <c r="L27" s="5" t="inlineStr"/>
      <c r="M27" s="9">
        <f>ROUND((MOB_HP_K*E27^MOB_HP_POW*F27+MOB_HP_ADD)*G27,0)</f>
        <v/>
      </c>
      <c r="N27" s="9">
        <f>ROUND((MOB_ATK_BASE+MOB_ATK_K*E27^MOB_ATK_POW)*F27,0)</f>
        <v/>
      </c>
      <c r="O27" s="9">
        <f>ROUND(MOB_EXP_K*E27^MOB_EXP_POW*F27*H27,0)</f>
        <v/>
      </c>
      <c r="P27" s="9">
        <f>E27*GOLD_MIN*I27</f>
        <v/>
      </c>
      <c r="Q27" s="9">
        <f>E27*GOLD_MAX*I27</f>
        <v/>
      </c>
      <c r="R27" s="9">
        <f>IFERROR(ROUNDUP(INDEX(경험치!$B$2:$B$100,MIN(99,MAX(1,E27)))/O27,0),"-")</f>
        <v/>
      </c>
      <c r="S27" s="5" t="inlineStr"/>
      <c r="T27" s="5" t="inlineStr"/>
      <c r="U27" s="5" t="inlineStr"/>
      <c r="V27" s="5" t="inlineStr"/>
    </row>
    <row r="28">
      <c r="A28" s="5" t="inlineStr">
        <is>
          <t>coralCrab</t>
        </is>
      </c>
      <c r="B28" s="5" t="inlineStr">
        <is>
          <t>산호 등껍질 괴수</t>
        </is>
      </c>
      <c r="C28" s="8" t="n">
        <v>99</v>
      </c>
      <c r="D28" s="8" t="n">
        <v>99</v>
      </c>
      <c r="E28" s="5">
        <f>ROUND((C28+D28)/2,0)</f>
        <v/>
      </c>
      <c r="F28" s="8" t="n">
        <v>1.4</v>
      </c>
      <c r="G28" s="8" t="n">
        <v>1</v>
      </c>
      <c r="H28" s="8" t="n">
        <v>1</v>
      </c>
      <c r="I28" s="8" t="n">
        <v>1</v>
      </c>
      <c r="J28" s="5" t="inlineStr"/>
      <c r="K28" s="5" t="inlineStr"/>
      <c r="L28" s="5" t="inlineStr"/>
      <c r="M28" s="9">
        <f>ROUND((MOB_HP_K*E28^MOB_HP_POW*F28+MOB_HP_ADD)*G28,0)</f>
        <v/>
      </c>
      <c r="N28" s="9">
        <f>ROUND((MOB_ATK_BASE+MOB_ATK_K*E28^MOB_ATK_POW)*F28,0)</f>
        <v/>
      </c>
      <c r="O28" s="9">
        <f>ROUND(MOB_EXP_K*E28^MOB_EXP_POW*F28*H28,0)</f>
        <v/>
      </c>
      <c r="P28" s="9">
        <f>E28*GOLD_MIN*I28</f>
        <v/>
      </c>
      <c r="Q28" s="9">
        <f>E28*GOLD_MAX*I28</f>
        <v/>
      </c>
      <c r="R28" s="9">
        <f>IFERROR(ROUNDUP(INDEX(경험치!$B$2:$B$100,MIN(99,MAX(1,E28)))/O28,0),"-")</f>
        <v/>
      </c>
      <c r="S28" s="5" t="inlineStr"/>
      <c r="T28" s="5" t="inlineStr"/>
      <c r="U28" s="5" t="inlineStr"/>
      <c r="V28" s="5" t="inlineStr">
        <is>
          <t>빛나는 산호 조각</t>
        </is>
      </c>
    </row>
    <row r="29">
      <c r="A29" s="5" t="inlineStr">
        <is>
          <t>drownedKnight</t>
        </is>
      </c>
      <c r="B29" s="5" t="inlineStr">
        <is>
          <t>익사한 옛 기사</t>
        </is>
      </c>
      <c r="C29" s="8" t="n">
        <v>99</v>
      </c>
      <c r="D29" s="8" t="n">
        <v>99</v>
      </c>
      <c r="E29" s="5">
        <f>ROUND((C29+D29)/2,0)</f>
        <v/>
      </c>
      <c r="F29" s="8" t="n">
        <v>1.6</v>
      </c>
      <c r="G29" s="8" t="n">
        <v>1</v>
      </c>
      <c r="H29" s="8" t="n">
        <v>1</v>
      </c>
      <c r="I29" s="8" t="n">
        <v>1</v>
      </c>
      <c r="J29" s="5" t="inlineStr"/>
      <c r="K29" s="5" t="inlineStr"/>
      <c r="L29" s="5" t="inlineStr"/>
      <c r="M29" s="9">
        <f>ROUND((MOB_HP_K*E29^MOB_HP_POW*F29+MOB_HP_ADD)*G29,0)</f>
        <v/>
      </c>
      <c r="N29" s="9">
        <f>ROUND((MOB_ATK_BASE+MOB_ATK_K*E29^MOB_ATK_POW)*F29,0)</f>
        <v/>
      </c>
      <c r="O29" s="9">
        <f>ROUND(MOB_EXP_K*E29^MOB_EXP_POW*F29*H29,0)</f>
        <v/>
      </c>
      <c r="P29" s="9">
        <f>E29*GOLD_MIN*I29</f>
        <v/>
      </c>
      <c r="Q29" s="9">
        <f>E29*GOLD_MAX*I29</f>
        <v/>
      </c>
      <c r="R29" s="9">
        <f>IFERROR(ROUNDUP(INDEX(경험치!$B$2:$B$100,MIN(99,MAX(1,E29)))/O29,0),"-")</f>
        <v/>
      </c>
      <c r="S29" s="5" t="inlineStr"/>
      <c r="T29" s="5" t="inlineStr"/>
      <c r="U29" s="5" t="inlineStr">
        <is>
          <t>whirl</t>
        </is>
      </c>
      <c r="V29" s="5" t="inlineStr">
        <is>
          <t>녹슨 신전 문장</t>
        </is>
      </c>
    </row>
    <row r="30">
      <c r="A30" s="5" t="inlineStr">
        <is>
          <t>abyssCaller</t>
        </is>
      </c>
      <c r="B30" s="5" t="inlineStr">
        <is>
          <t>심연의 부름꾼</t>
        </is>
      </c>
      <c r="C30" s="8" t="n">
        <v>99</v>
      </c>
      <c r="D30" s="8" t="n">
        <v>99</v>
      </c>
      <c r="E30" s="5">
        <f>ROUND((C30+D30)/2,0)</f>
        <v/>
      </c>
      <c r="F30" s="8" t="n">
        <v>1.3</v>
      </c>
      <c r="G30" s="8" t="n">
        <v>1</v>
      </c>
      <c r="H30" s="8" t="n">
        <v>1</v>
      </c>
      <c r="I30" s="8" t="n">
        <v>1</v>
      </c>
      <c r="J30" s="5" t="inlineStr"/>
      <c r="K30" s="5" t="inlineStr"/>
      <c r="L30" s="5" t="inlineStr"/>
      <c r="M30" s="9">
        <f>ROUND((MOB_HP_K*E30^MOB_HP_POW*F30+MOB_HP_ADD)*G30,0)</f>
        <v/>
      </c>
      <c r="N30" s="9">
        <f>ROUND((MOB_ATK_BASE+MOB_ATK_K*E30^MOB_ATK_POW)*F30,0)</f>
        <v/>
      </c>
      <c r="O30" s="9">
        <f>ROUND(MOB_EXP_K*E30^MOB_EXP_POW*F30*H30,0)</f>
        <v/>
      </c>
      <c r="P30" s="9">
        <f>E30*GOLD_MIN*I30</f>
        <v/>
      </c>
      <c r="Q30" s="9">
        <f>E30*GOLD_MAX*I30</f>
        <v/>
      </c>
      <c r="R30" s="9">
        <f>IFERROR(ROUNDUP(INDEX(경험치!$B$2:$B$100,MIN(99,MAX(1,E30)))/O30,0),"-")</f>
        <v/>
      </c>
      <c r="S30" s="5" t="inlineStr"/>
      <c r="T30" s="5" t="inlineStr">
        <is>
          <t>O</t>
        </is>
      </c>
      <c r="U30" s="5" t="inlineStr"/>
      <c r="V30" s="5" t="inlineStr">
        <is>
          <t>심연의 진주</t>
        </is>
      </c>
    </row>
    <row r="31">
      <c r="A31" s="5" t="inlineStr">
        <is>
          <t>coralQueen</t>
        </is>
      </c>
      <c r="B31" s="5" t="inlineStr">
        <is>
          <t>산호 여왕 네레이스</t>
        </is>
      </c>
      <c r="C31" s="8" t="n">
        <v>99</v>
      </c>
      <c r="D31" s="8" t="n">
        <v>99</v>
      </c>
      <c r="E31" s="5">
        <f>ROUND((C31+D31)/2,0)</f>
        <v/>
      </c>
      <c r="F31" s="8" t="n">
        <v>2</v>
      </c>
      <c r="G31" s="8" t="n">
        <v>30</v>
      </c>
      <c r="H31" s="8" t="n">
        <v>12</v>
      </c>
      <c r="I31" s="8" t="n">
        <v>30</v>
      </c>
      <c r="J31" s="5" t="inlineStr"/>
      <c r="K31" s="5" t="inlineStr"/>
      <c r="L31" s="5" t="inlineStr"/>
      <c r="M31" s="9">
        <f>ROUND((MOB_HP_K*E31^MOB_HP_POW*F31+MOB_HP_ADD)*G31,0)</f>
        <v/>
      </c>
      <c r="N31" s="9">
        <f>ROUND((MOB_ATK_BASE+MOB_ATK_K*E31^MOB_ATK_POW)*F31,0)</f>
        <v/>
      </c>
      <c r="O31" s="9">
        <f>ROUND(MOB_EXP_K*E31^MOB_EXP_POW*F31*H31,0)</f>
        <v/>
      </c>
      <c r="P31" s="9">
        <f>E31*GOLD_MIN*I31</f>
        <v/>
      </c>
      <c r="Q31" s="9">
        <f>E31*GOLD_MAX*I31</f>
        <v/>
      </c>
      <c r="R31" s="9">
        <f>IFERROR(ROUNDUP(INDEX(경험치!$B$2:$B$100,MIN(99,MAX(1,E31)))/O31,0),"-")</f>
        <v/>
      </c>
      <c r="S31" s="5" t="inlineStr">
        <is>
          <t>O</t>
        </is>
      </c>
      <c r="T31" s="5" t="inlineStr"/>
      <c r="U31" s="5" t="inlineStr">
        <is>
          <t>whirl</t>
        </is>
      </c>
      <c r="V31" s="5" t="inlineStr">
        <is>
          <t>산호 여왕의 왕관</t>
        </is>
      </c>
    </row>
    <row r="32">
      <c r="A32" s="5" t="inlineStr">
        <is>
          <t>ignis</t>
        </is>
      </c>
      <c r="B32" s="5" t="inlineStr">
        <is>
          <t>고대 드래곤 이그니스</t>
        </is>
      </c>
      <c r="C32" s="8" t="n">
        <v>99</v>
      </c>
      <c r="D32" s="8" t="n">
        <v>99</v>
      </c>
      <c r="E32" s="5">
        <f>C32</f>
        <v/>
      </c>
      <c r="F32" s="5" t="inlineStr"/>
      <c r="G32" s="5" t="inlineStr"/>
      <c r="H32" s="5" t="inlineStr"/>
      <c r="I32" s="5" t="inlineStr"/>
      <c r="J32" s="10" t="n">
        <v>300000</v>
      </c>
      <c r="K32" s="10" t="n">
        <v>900</v>
      </c>
      <c r="L32" s="10" t="n">
        <v>2000000</v>
      </c>
      <c r="M32" s="9">
        <f>J32</f>
        <v/>
      </c>
      <c r="N32" s="9">
        <f>K32</f>
        <v/>
      </c>
      <c r="O32" s="9">
        <f>L32</f>
        <v/>
      </c>
      <c r="P32" s="10" t="n">
        <v>60000</v>
      </c>
      <c r="Q32" s="10" t="n">
        <v>120000</v>
      </c>
      <c r="R32" s="9">
        <f>IFERROR(ROUNDUP(INDEX(경험치!$B$2:$B$100,MIN(99,MAX(1,E32)))/O32,0),"-")</f>
        <v/>
      </c>
      <c r="S32" s="5" t="inlineStr">
        <is>
          <t>O</t>
        </is>
      </c>
      <c r="T32" s="5" t="inlineStr"/>
      <c r="U32" s="5" t="inlineStr">
        <is>
          <t>ignis</t>
        </is>
      </c>
      <c r="V32" s="5" t="inlineStr"/>
    </row>
    <row r="34">
      <c r="A34" s="7" t="inlineStr">
        <is>
          <t>레벨 범위가 있는 몬스터는 평균 레벨 기준 수치입니다. 실제로는 스폰마다 최소~최대 레벨 사이에서 정해집니다. 고정 수치 몬스터(초반 · 레이드 보스)는 파란 칸을 직접 바꾸세요.</t>
        </is>
      </c>
    </row>
    <row r="35">
      <c r="A35" s="7" t="inlineStr">
        <is>
          <t>레벨업까지 처치 수 = 그 몬스터 평균 레벨에서 다음 레벨까지 필요 경험치 ÷ 처치 경험치.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8" customWidth="1" min="6" max="6"/>
    <col width="11" customWidth="1" min="7" max="7"/>
    <col width="8" customWidth="1" min="8" max="8"/>
    <col width="11" customWidth="1" min="9" max="9"/>
    <col width="11" customWidth="1" min="10" max="10"/>
    <col width="24" customWidth="1" min="11" max="11"/>
    <col width="12" customWidth="1" min="12" max="12"/>
    <col width="10" customWidth="1" min="13" max="13"/>
    <col width="12" customWidth="1" min="14" max="14"/>
    <col width="12" customWidth="1" min="15" max="15"/>
    <col width="18" customWidth="1" min="16" max="16"/>
    <col width="12" customWidth="1" min="17" max="17"/>
    <col width="13" customWidth="1" min="18" max="18"/>
  </cols>
  <sheetData>
    <row r="1">
      <c r="A1" s="4" t="inlineStr">
        <is>
          <t>직업</t>
        </is>
      </c>
      <c r="B1" s="4" t="inlineStr">
        <is>
          <t>기본 체력</t>
        </is>
      </c>
      <c r="C1" s="4" t="inlineStr">
        <is>
          <t>기본 마력</t>
        </is>
      </c>
      <c r="D1" s="4" t="inlineStr">
        <is>
          <t>기본 공격력</t>
        </is>
      </c>
      <c r="E1" s="4" t="inlineStr">
        <is>
          <t>기본 방어력</t>
        </is>
      </c>
      <c r="F1" s="4" t="inlineStr">
        <is>
          <t>사거리</t>
        </is>
      </c>
      <c r="G1" s="4" t="inlineStr">
        <is>
          <t>공격 간격(초)</t>
        </is>
      </c>
      <c r="H1" s="4" t="inlineStr">
        <is>
          <t>치명타</t>
        </is>
      </c>
      <c r="I1" s="4" t="inlineStr">
        <is>
          <t>물리방어 배율</t>
        </is>
      </c>
      <c r="J1" s="4" t="inlineStr">
        <is>
          <t>마법방어 배율</t>
        </is>
      </c>
      <c r="K1" s="4" t="inlineStr">
        <is>
          <t>진급 이름</t>
        </is>
      </c>
      <c r="L1" s="4" t="inlineStr">
        <is>
          <t>각성</t>
        </is>
      </c>
      <c r="M1" s="4" t="inlineStr">
        <is>
          <t>계산 레벨</t>
        </is>
      </c>
      <c r="N1" s="4" t="inlineStr">
        <is>
          <t>체력 (계산)</t>
        </is>
      </c>
      <c r="O1" s="4" t="inlineStr">
        <is>
          <t>마력 (계산)</t>
        </is>
      </c>
      <c r="P1" s="4" t="inlineStr">
        <is>
          <t>공격력 (계산, 무기 제외)</t>
        </is>
      </c>
      <c r="Q1" s="4" t="inlineStr">
        <is>
          <t>방어력 (계산)</t>
        </is>
      </c>
      <c r="R1" s="4" t="inlineStr">
        <is>
          <t>받는 피해 배율</t>
        </is>
      </c>
    </row>
    <row r="2">
      <c r="A2" s="5" t="inlineStr">
        <is>
          <t>초보자</t>
        </is>
      </c>
      <c r="B2" s="8" t="n">
        <v>230</v>
      </c>
      <c r="C2" s="8" t="n">
        <v>100</v>
      </c>
      <c r="D2" s="8" t="n">
        <v>13</v>
      </c>
      <c r="E2" s="8" t="n">
        <v>9</v>
      </c>
      <c r="F2" s="8" t="n">
        <v>2.1</v>
      </c>
      <c r="G2" s="8" t="n">
        <v>0.9</v>
      </c>
      <c r="H2" s="11" t="n">
        <v>0.12</v>
      </c>
      <c r="I2" s="8" t="n">
        <v>1</v>
      </c>
      <c r="J2" s="8" t="n">
        <v>1</v>
      </c>
      <c r="K2" s="5" t="inlineStr"/>
      <c r="L2" s="5" t="inlineStr"/>
      <c r="M2" s="6" t="n">
        <v>99</v>
      </c>
      <c r="N2" s="9">
        <f>ROUND(B2*(1+HP_GROW*(M2-1)),0)</f>
        <v/>
      </c>
      <c r="O2" s="9">
        <f>ROUND(C2*(1+MP_GROW*(M2-1)),0)</f>
        <v/>
      </c>
      <c r="P2" s="9">
        <f>ROUND(D2*(1+ATK_GROW*(M2-1)),0)</f>
        <v/>
      </c>
      <c r="Q2" s="9">
        <f>ROUND(E2*(1+DEF_GROW*(M2-1)),0)</f>
        <v/>
      </c>
      <c r="R2" s="12">
        <f>MITIG_K/(MITIG_K+Q2)</f>
        <v/>
      </c>
    </row>
    <row r="3">
      <c r="A3" s="5" t="inlineStr">
        <is>
          <t>전사</t>
        </is>
      </c>
      <c r="B3" s="8" t="n">
        <v>330</v>
      </c>
      <c r="C3" s="8" t="n">
        <v>110</v>
      </c>
      <c r="D3" s="8" t="n">
        <v>14</v>
      </c>
      <c r="E3" s="8" t="n">
        <v>15</v>
      </c>
      <c r="F3" s="8" t="n">
        <v>2.2</v>
      </c>
      <c r="G3" s="8" t="n">
        <v>0.95</v>
      </c>
      <c r="H3" s="11" t="n">
        <v>0.12</v>
      </c>
      <c r="I3" s="8" t="n">
        <v>1</v>
      </c>
      <c r="J3" s="8" t="n">
        <v>0.6</v>
      </c>
      <c r="K3" s="5" t="inlineStr">
        <is>
          <t>전사 → 검객 → 검성</t>
        </is>
      </c>
      <c r="L3" s="5" t="inlineStr">
        <is>
          <t>검성</t>
        </is>
      </c>
      <c r="M3" s="6" t="n">
        <v>99</v>
      </c>
      <c r="N3" s="9">
        <f>ROUND(B3*(1+HP_GROW*(M3-1)),0)</f>
        <v/>
      </c>
      <c r="O3" s="9">
        <f>ROUND(C3*(1+MP_GROW*(M3-1)),0)</f>
        <v/>
      </c>
      <c r="P3" s="9">
        <f>ROUND(D3*(1+ATK_GROW*(M3-1)),0)</f>
        <v/>
      </c>
      <c r="Q3" s="9">
        <f>ROUND(E3*(1+DEF_GROW*(M3-1)),0)</f>
        <v/>
      </c>
      <c r="R3" s="12">
        <f>MITIG_K/(MITIG_K+Q3)</f>
        <v/>
      </c>
    </row>
    <row r="4">
      <c r="A4" s="5" t="inlineStr">
        <is>
          <t>도적</t>
        </is>
      </c>
      <c r="B4" s="8" t="n">
        <v>215</v>
      </c>
      <c r="C4" s="8" t="n">
        <v>120</v>
      </c>
      <c r="D4" s="8" t="n">
        <v>16</v>
      </c>
      <c r="E4" s="8" t="n">
        <v>6</v>
      </c>
      <c r="F4" s="8" t="n">
        <v>1.9</v>
      </c>
      <c r="G4" s="8" t="n">
        <v>0.62</v>
      </c>
      <c r="H4" s="11" t="n">
        <v>0.28</v>
      </c>
      <c r="I4" s="8" t="n">
        <v>0.4</v>
      </c>
      <c r="J4" s="8" t="n">
        <v>0.5</v>
      </c>
      <c r="K4" s="5" t="inlineStr">
        <is>
          <t>도적 → 암살자 → 암흑의 군주</t>
        </is>
      </c>
      <c r="L4" s="5" t="inlineStr">
        <is>
          <t>암흑의 군주</t>
        </is>
      </c>
      <c r="M4" s="6" t="n">
        <v>99</v>
      </c>
      <c r="N4" s="9">
        <f>ROUND(B4*(1+HP_GROW*(M4-1)),0)</f>
        <v/>
      </c>
      <c r="O4" s="9">
        <f>ROUND(C4*(1+MP_GROW*(M4-1)),0)</f>
        <v/>
      </c>
      <c r="P4" s="9">
        <f>ROUND(D4*(1+ATK_GROW*(M4-1)),0)</f>
        <v/>
      </c>
      <c r="Q4" s="9">
        <f>ROUND(E4*(1+DEF_GROW*(M4-1)),0)</f>
        <v/>
      </c>
      <c r="R4" s="12">
        <f>MITIG_K/(MITIG_K+Q4)</f>
        <v/>
      </c>
    </row>
    <row r="5">
      <c r="A5" s="5" t="inlineStr">
        <is>
          <t>힐러</t>
        </is>
      </c>
      <c r="B5" s="8" t="n">
        <v>165</v>
      </c>
      <c r="C5" s="8" t="n">
        <v>220</v>
      </c>
      <c r="D5" s="8" t="n">
        <v>16</v>
      </c>
      <c r="E5" s="8" t="n">
        <v>4</v>
      </c>
      <c r="F5" s="8" t="n">
        <v>9</v>
      </c>
      <c r="G5" s="8" t="n">
        <v>1</v>
      </c>
      <c r="H5" s="11" t="n">
        <v>0.12</v>
      </c>
      <c r="I5" s="8" t="n">
        <v>0.25</v>
      </c>
      <c r="J5" s="8" t="n">
        <v>1</v>
      </c>
      <c r="K5" s="5" t="inlineStr">
        <is>
          <t>힐러 → 사제 → 성직자</t>
        </is>
      </c>
      <c r="L5" s="5" t="inlineStr">
        <is>
          <t>성직자</t>
        </is>
      </c>
      <c r="M5" s="6" t="n">
        <v>99</v>
      </c>
      <c r="N5" s="9">
        <f>ROUND(B5*(1+HP_GROW*(M5-1)),0)</f>
        <v/>
      </c>
      <c r="O5" s="9">
        <f>ROUND(C5*(1+MP_GROW*(M5-1)),0)</f>
        <v/>
      </c>
      <c r="P5" s="9">
        <f>ROUND(D5*(1+ATK_GROW*(M5-1)),0)</f>
        <v/>
      </c>
      <c r="Q5" s="9">
        <f>ROUND(E5*(1+DEF_GROW*(M5-1)),0)</f>
        <v/>
      </c>
      <c r="R5" s="12">
        <f>MITIG_K/(MITIG_K+Q5)</f>
        <v/>
      </c>
    </row>
    <row r="7">
      <c r="A7" s="7" t="inlineStr">
        <is>
          <t>장비 · 스탯 포인트 · 진급(2차 +10%, 각성 +20%) · 세트 효과는 제외한 기본 성장치입니다.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8" customWidth="1" min="3" max="3"/>
    <col width="8" customWidth="1" min="4" max="4"/>
    <col width="10" customWidth="1" min="5" max="5"/>
    <col width="8" customWidth="1" min="6" max="6"/>
    <col width="7" customWidth="1" min="7" max="7"/>
    <col width="110" customWidth="1" min="8" max="8"/>
  </cols>
  <sheetData>
    <row r="1">
      <c r="A1" s="4" t="inlineStr">
        <is>
          <t>직업</t>
        </is>
      </c>
      <c r="B1" s="4" t="inlineStr">
        <is>
          <t>슬롯</t>
        </is>
      </c>
      <c r="C1" s="4" t="inlineStr">
        <is>
          <t>스킬</t>
        </is>
      </c>
      <c r="D1" s="4" t="inlineStr">
        <is>
          <t>해금 Lv</t>
        </is>
      </c>
      <c r="E1" s="4" t="inlineStr">
        <is>
          <t>재사용(초)</t>
        </is>
      </c>
      <c r="F1" s="4" t="inlineStr">
        <is>
          <t>마력</t>
        </is>
      </c>
      <c r="G1" s="4" t="inlineStr">
        <is>
          <t>패시브</t>
        </is>
      </c>
      <c r="H1" s="4" t="inlineStr">
        <is>
          <t>설명</t>
        </is>
      </c>
    </row>
    <row r="2">
      <c r="A2" s="5" t="inlineStr">
        <is>
          <t>초보자</t>
        </is>
      </c>
      <c r="B2" s="5" t="inlineStr">
        <is>
          <t>atk</t>
        </is>
      </c>
      <c r="C2" s="5" t="inlineStr">
        <is>
          <t>휘두르기</t>
        </is>
      </c>
      <c r="D2" s="8" t="n">
        <v>1</v>
      </c>
      <c r="E2" s="8" t="inlineStr"/>
      <c r="F2" s="8" t="inlineStr"/>
      <c r="G2" s="5" t="inlineStr"/>
      <c r="H2" s="13" t="inlineStr">
        <is>
          <t>전방 좁은 범위에 물리 피해</t>
        </is>
      </c>
    </row>
    <row r="3">
      <c r="A3" s="5" t="inlineStr">
        <is>
          <t>초보자</t>
        </is>
      </c>
      <c r="B3" s="5" t="inlineStr">
        <is>
          <t>s1</t>
        </is>
      </c>
      <c r="C3" s="5" t="inlineStr">
        <is>
          <t>힘껏 베기</t>
        </is>
      </c>
      <c r="D3" s="8" t="n">
        <v>1</v>
      </c>
      <c r="E3" s="8" t="n">
        <v>6</v>
      </c>
      <c r="F3" s="8" t="n">
        <v>10</v>
      </c>
      <c r="G3" s="5" t="inlineStr"/>
      <c r="H3" s="13" t="inlineStr">
        <is>
          <t>전방을 힘껏 베어 2배 피해</t>
        </is>
      </c>
    </row>
    <row r="4">
      <c r="A4" s="5" t="inlineStr">
        <is>
          <t>전사</t>
        </is>
      </c>
      <c r="B4" s="5" t="inlineStr">
        <is>
          <t>atk</t>
        </is>
      </c>
      <c r="C4" s="5" t="inlineStr">
        <is>
          <t>대검 베기</t>
        </is>
      </c>
      <c r="D4" s="8" t="n">
        <v>1</v>
      </c>
      <c r="E4" s="8" t="inlineStr"/>
      <c r="F4" s="8" t="inlineStr"/>
      <c r="G4" s="5" t="inlineStr"/>
      <c r="H4" s="13" t="inlineStr">
        <is>
          <t>전방 범위에 물리 피해</t>
        </is>
      </c>
    </row>
    <row r="5">
      <c r="A5" s="5" t="inlineStr">
        <is>
          <t>전사</t>
        </is>
      </c>
      <c r="B5" s="5" t="inlineStr">
        <is>
          <t>s1</t>
        </is>
      </c>
      <c r="C5" s="5" t="inlineStr">
        <is>
          <t>대지 분쇄</t>
        </is>
      </c>
      <c r="D5" s="8" t="n">
        <v>15</v>
      </c>
      <c r="E5" s="8" t="n">
        <v>12</v>
      </c>
      <c r="F5" s="8" t="inlineStr"/>
      <c r="G5" s="5" t="inlineStr"/>
      <c r="H5" s="13" t="inlineStr">
        <is>
          <t>전방 6m 돌진 후 지면 강타: 물리 180% 피해 + 1.5초 기절 · 분노 +15</t>
        </is>
      </c>
    </row>
    <row r="6">
      <c r="A6" s="5" t="inlineStr">
        <is>
          <t>전사</t>
        </is>
      </c>
      <c r="B6" s="5" t="inlineStr">
        <is>
          <t>s2</t>
        </is>
      </c>
      <c r="C6" s="5" t="inlineStr">
        <is>
          <t>수호의 반격</t>
        </is>
      </c>
      <c r="D6" s="8" t="n">
        <v>35</v>
      </c>
      <c r="E6" s="8" t="n">
        <v>16</v>
      </c>
      <c r="F6" s="8" t="inlineStr"/>
      <c r="G6" s="5" t="inlineStr"/>
      <c r="H6" s="13" t="inlineStr">
        <is>
          <t>2초 방어 채널링: 최대 체력 20% 보호막 · 흡수 피해 10%당 분노 5 · 끝나면 주변 4m 충격파 (150% + 흡수량 40%)</t>
        </is>
      </c>
    </row>
    <row r="7">
      <c r="A7" s="5" t="inlineStr">
        <is>
          <t>전사</t>
        </is>
      </c>
      <c r="B7" s="5" t="inlineStr">
        <is>
          <t>s3</t>
        </is>
      </c>
      <c r="C7" s="5" t="inlineStr">
        <is>
          <t>광풍 참격</t>
        </is>
      </c>
      <c r="D7" s="8" t="n">
        <v>55</v>
      </c>
      <c r="E7" s="8" t="n">
        <v>8</v>
      </c>
      <c r="F7" s="8" t="inlineStr"/>
      <c r="G7" s="5" t="inlineStr"/>
      <c r="H7" s="13" t="inlineStr">
        <is>
          <t>분노 전부 소모 (최소 30): 물리 250% × (1 + 소모 분노/100 × 1.4) — 분노 100이면 600% · 대상 방어력 30% 관통</t>
        </is>
      </c>
    </row>
    <row r="8">
      <c r="A8" s="5" t="inlineStr">
        <is>
          <t>전사</t>
        </is>
      </c>
      <c r="B8" s="5" t="inlineStr">
        <is>
          <t>ult</t>
        </is>
      </c>
      <c r="C8" s="5" t="inlineStr">
        <is>
          <t>지각 변동</t>
        </is>
      </c>
      <c r="D8" s="8" t="n">
        <v>80</v>
      </c>
      <c r="E8" s="8" t="n">
        <v>28</v>
      </c>
      <c r="F8" s="8" t="n">
        <v>150</v>
      </c>
      <c r="G8" s="5" t="inlineStr"/>
      <c r="H8" s="13" t="inlineStr">
        <is>
          <t>도약 후 내리찍어 광역 띄움 + 400% 피해</t>
        </is>
      </c>
    </row>
    <row r="9">
      <c r="A9" s="5" t="inlineStr">
        <is>
          <t>도적</t>
        </is>
      </c>
      <c r="B9" s="5" t="inlineStr">
        <is>
          <t>atk</t>
        </is>
      </c>
      <c r="C9" s="5" t="inlineStr">
        <is>
          <t>쌍검 난도</t>
        </is>
      </c>
      <c r="D9" s="8" t="n">
        <v>1</v>
      </c>
      <c r="E9" s="8" t="inlineStr"/>
      <c r="F9" s="8" t="inlineStr"/>
      <c r="G9" s="5" t="inlineStr"/>
      <c r="H9" s="13" t="inlineStr">
        <is>
          <t>두 자루 단검으로 빠르게 벤다</t>
        </is>
      </c>
    </row>
    <row r="10">
      <c r="A10" s="5" t="inlineStr">
        <is>
          <t>도적</t>
        </is>
      </c>
      <c r="B10" s="5" t="inlineStr">
        <is>
          <t>s1</t>
        </is>
      </c>
      <c r="C10" s="5" t="inlineStr">
        <is>
          <t>그림자 침투</t>
        </is>
      </c>
      <c r="D10" s="8" t="n">
        <v>15</v>
      </c>
      <c r="E10" s="8" t="n">
        <v>14</v>
      </c>
      <c r="F10" s="8" t="inlineStr"/>
      <c r="G10" s="5" t="inlineStr"/>
      <c r="H10" s="13" t="inlineStr">
        <is>
          <t>기력 20 · 대상의 배후로 순간 이동해 120% 피해 + 1.5초 침묵 · 3초 은신 · 급소 +1</t>
        </is>
      </c>
    </row>
    <row r="11">
      <c r="A11" s="5" t="inlineStr">
        <is>
          <t>도적</t>
        </is>
      </c>
      <c r="B11" s="5" t="inlineStr">
        <is>
          <t>s2</t>
        </is>
      </c>
      <c r="C11" s="5" t="inlineStr">
        <is>
          <t>급소 베기</t>
        </is>
      </c>
      <c r="D11" s="8" t="n">
        <v>35</v>
      </c>
      <c r="E11" s="8" t="n">
        <v>3</v>
      </c>
      <c r="F11" s="8" t="inlineStr"/>
      <c r="G11" s="5" t="inlineStr"/>
      <c r="H11" s="13" t="inlineStr">
        <is>
          <t>기력 30 · 150% 연타 + 4초 출혈 (초당 35%) · 등 뒤면 치명타 +20% · 급소 +1</t>
        </is>
      </c>
    </row>
    <row r="12">
      <c r="A12" s="5" t="inlineStr">
        <is>
          <t>도적</t>
        </is>
      </c>
      <c r="B12" s="5" t="inlineStr">
        <is>
          <t>s3</t>
        </is>
      </c>
      <c r="C12" s="5" t="inlineStr">
        <is>
          <t>영혼 적출</t>
        </is>
      </c>
      <c r="D12" s="8" t="n">
        <v>55</v>
      </c>
      <c r="E12" s="8" t="n">
        <v>10</v>
      </c>
      <c r="F12" s="8" t="inlineStr"/>
      <c r="G12" s="5" t="inlineStr"/>
      <c r="H12" s="13" t="inlineStr">
        <is>
          <t>기력 10 + 급소 전부: 물리 200% × (1 + 포인트 × 0.6) — 5개 800% · 대상 체력 30% 이하 ×1.5 · 등 뒤 치명타 ×1.85</t>
        </is>
      </c>
    </row>
    <row r="13">
      <c r="A13" s="5" t="inlineStr">
        <is>
          <t>도적</t>
        </is>
      </c>
      <c r="B13" s="5" t="inlineStr">
        <is>
          <t>ult</t>
        </is>
      </c>
      <c r="C13" s="5" t="inlineStr">
        <is>
          <t>암살</t>
        </is>
      </c>
      <c r="D13" s="8" t="n">
        <v>80</v>
      </c>
      <c r="E13" s="8" t="n">
        <v>26</v>
      </c>
      <c r="F13" s="8" t="n">
        <v>150</v>
      </c>
      <c r="G13" s="5" t="inlineStr"/>
      <c r="H13" s="13" t="inlineStr">
        <is>
          <t>단일 대상 800% 피해, 체력 50% 이하면 두 배</t>
        </is>
      </c>
    </row>
    <row r="14">
      <c r="A14" s="5" t="inlineStr">
        <is>
          <t>힐러</t>
        </is>
      </c>
      <c r="B14" s="5" t="inlineStr">
        <is>
          <t>atk</t>
        </is>
      </c>
      <c r="C14" s="5" t="inlineStr">
        <is>
          <t>신성탄</t>
        </is>
      </c>
      <c r="D14" s="8" t="n">
        <v>1</v>
      </c>
      <c r="E14" s="8" t="inlineStr"/>
      <c r="F14" s="8" t="inlineStr"/>
      <c r="G14" s="5" t="inlineStr"/>
      <c r="H14" s="13" t="inlineStr">
        <is>
          <t>신성한 빛을 쏜다. 적중하면 체력을 조금 회복한다</t>
        </is>
      </c>
    </row>
    <row r="15">
      <c r="A15" s="5" t="inlineStr">
        <is>
          <t>힐러</t>
        </is>
      </c>
      <c r="B15" s="5" t="inlineStr">
        <is>
          <t>s1</t>
        </is>
      </c>
      <c r="C15" s="5" t="inlineStr">
        <is>
          <t>성역 선포</t>
        </is>
      </c>
      <c r="D15" s="8" t="n">
        <v>15</v>
      </c>
      <c r="E15" s="8" t="n">
        <v>18</v>
      </c>
      <c r="F15" s="8" t="inlineStr"/>
      <c r="G15" s="5" t="inlineStr"/>
      <c r="H15" s="13" t="inlineStr">
        <is>
          <t>신력 40 · 대상 위치에 반경 8m 성역 8초: 적 초당 45% 신성 피해 + 이동 속도 40%↓ · 안의 아군 초당 15% 보호막</t>
        </is>
      </c>
    </row>
    <row r="16">
      <c r="A16" s="5" t="inlineStr">
        <is>
          <t>힐러</t>
        </is>
      </c>
      <c r="B16" s="5" t="inlineStr">
        <is>
          <t>s2</t>
        </is>
      </c>
      <c r="C16" s="5" t="inlineStr">
        <is>
          <t>천벌의 심판</t>
        </is>
      </c>
      <c r="D16" s="8" t="n">
        <v>35</v>
      </c>
      <c r="E16" s="8" t="n">
        <v>10</v>
      </c>
      <c r="F16" s="8" t="inlineStr"/>
      <c r="G16" s="5" t="inlineStr"/>
      <c r="H16" s="13" t="inlineStr">
        <is>
          <t>신력 35 · 1초 시전 후 성역 중심에 마법 480% (마법 피해 70% + 방어 무시 신성 고정 피해 30%) + 1.2초 에어본</t>
        </is>
      </c>
    </row>
    <row r="17">
      <c r="A17" s="5" t="inlineStr">
        <is>
          <t>힐러</t>
        </is>
      </c>
      <c r="B17" s="5" t="inlineStr">
        <is>
          <t>s3</t>
        </is>
      </c>
      <c r="C17" s="5" t="inlineStr">
        <is>
          <t>권능 강림</t>
        </is>
      </c>
      <c r="D17" s="8" t="n">
        <v>55</v>
      </c>
      <c r="E17" s="8" t="n">
        <v>60</v>
      </c>
      <c r="F17" s="8" t="inlineStr"/>
      <c r="G17" s="5" t="inlineStr"/>
      <c r="H17" s="13" t="inlineStr">
        <is>
          <t>신력 100 · 10초간 스킬 피해 +30% · 쿨타임 50%↓ · 상태이상 면역 · 성역 범위 2배 (16m)</t>
        </is>
      </c>
    </row>
    <row r="18">
      <c r="A18" s="5" t="inlineStr">
        <is>
          <t>힐러</t>
        </is>
      </c>
      <c r="B18" s="5" t="inlineStr">
        <is>
          <t>ult</t>
        </is>
      </c>
      <c r="C18" s="5" t="inlineStr">
        <is>
          <t>신의 강림</t>
        </is>
      </c>
      <c r="D18" s="8" t="n">
        <v>85</v>
      </c>
      <c r="E18" s="8" t="n">
        <v>120</v>
      </c>
      <c r="F18" s="8" t="n">
        <v>300</v>
      </c>
      <c r="G18" s="5" t="inlineStr"/>
      <c r="H18" s="13" t="inlineStr">
        <is>
          <t>체력 완전 회복 + 30초 변신: 치유량 50%↑, 쿨타임 50%↓, 신성 파동, 쓰러지면 즉시 부활(1회)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4" t="inlineStr">
        <is>
          <t>등급</t>
        </is>
      </c>
      <c r="B1" s="4" t="inlineStr">
        <is>
          <t>착용 Lv</t>
        </is>
      </c>
      <c r="C1" s="4" t="inlineStr">
        <is>
          <t>무기 공격력</t>
        </is>
      </c>
      <c r="D1" s="4" t="inlineStr">
        <is>
          <t>방어구 방어력</t>
        </is>
      </c>
      <c r="E1" s="4" t="inlineStr">
        <is>
          <t>전사 무기</t>
        </is>
      </c>
      <c r="F1" s="4" t="inlineStr">
        <is>
          <t>도적 무기</t>
        </is>
      </c>
      <c r="G1" s="4" t="inlineStr">
        <is>
          <t>신관 무기</t>
        </is>
      </c>
      <c r="H1" s="4" t="inlineStr">
        <is>
          <t>전사 방어구</t>
        </is>
      </c>
      <c r="I1" s="4" t="inlineStr">
        <is>
          <t>도적 방어구</t>
        </is>
      </c>
      <c r="J1" s="4" t="inlineStr">
        <is>
          <t>신관 방어구</t>
        </is>
      </c>
    </row>
    <row r="2">
      <c r="A2" s="5" t="n">
        <v>0</v>
      </c>
      <c r="B2" s="8" t="n">
        <v>1</v>
      </c>
      <c r="C2" s="8" t="n">
        <v>6</v>
      </c>
      <c r="D2" s="8" t="n">
        <v>5</v>
      </c>
      <c r="E2" s="5" t="inlineStr">
        <is>
          <t>수련용 목검</t>
        </is>
      </c>
      <c r="F2" s="5" t="inlineStr">
        <is>
          <t>수련용 목검</t>
        </is>
      </c>
      <c r="G2" s="5" t="inlineStr">
        <is>
          <t>수련용 목검</t>
        </is>
      </c>
      <c r="H2" s="5" t="inlineStr">
        <is>
          <t>목판 갑옷 / 가죽 톳옷</t>
        </is>
      </c>
      <c r="I2" s="5" t="inlineStr">
        <is>
          <t>목판 갑옷 / 가죽 톳옷</t>
        </is>
      </c>
      <c r="J2" s="5" t="inlineStr">
        <is>
          <t>목판 갑옷 / 가죽 톳옷</t>
        </is>
      </c>
    </row>
    <row r="3">
      <c r="A3" s="5" t="n">
        <v>1</v>
      </c>
      <c r="B3" s="8" t="n">
        <v>15</v>
      </c>
      <c r="C3" s="8" t="n">
        <v>20</v>
      </c>
      <c r="D3" s="8" t="n">
        <v>10</v>
      </c>
      <c r="E3" s="5" t="inlineStr">
        <is>
          <t>강철 대검</t>
        </is>
      </c>
      <c r="F3" s="5" t="inlineStr">
        <is>
          <t>암살자의 비가</t>
        </is>
      </c>
      <c r="G3" s="5" t="inlineStr">
        <is>
          <t>령환의 방울</t>
        </is>
      </c>
      <c r="H3" s="5" t="inlineStr">
        <is>
          <t>강철 판금</t>
        </is>
      </c>
      <c r="I3" s="5" t="inlineStr">
        <is>
          <t>날렵한 가죽갑</t>
        </is>
      </c>
      <c r="J3" s="5" t="inlineStr">
        <is>
          <t>령사 로브</t>
        </is>
      </c>
    </row>
    <row r="4">
      <c r="A4" s="5" t="n">
        <v>2</v>
      </c>
      <c r="B4" s="8" t="n">
        <v>30</v>
      </c>
      <c r="C4" s="8" t="n">
        <v>34</v>
      </c>
      <c r="D4" s="8" t="n">
        <v>18</v>
      </c>
      <c r="E4" s="5" t="inlineStr">
        <is>
          <t>원혼을 베는 자</t>
        </is>
      </c>
      <c r="F4" s="5" t="inlineStr">
        <is>
          <t>원혼의 뼈단검</t>
        </is>
      </c>
      <c r="G4" s="5" t="inlineStr">
        <is>
          <t>혼령의 신봉</t>
        </is>
      </c>
      <c r="H4" s="5" t="inlineStr">
        <is>
          <t>백골 판금</t>
        </is>
      </c>
      <c r="I4" s="5" t="inlineStr">
        <is>
          <t>칠흑 가죽갑</t>
        </is>
      </c>
      <c r="J4" s="5" t="inlineStr">
        <is>
          <t>영혼 주술포</t>
        </is>
      </c>
    </row>
    <row r="5">
      <c r="A5" s="5" t="n">
        <v>3</v>
      </c>
      <c r="B5" s="8" t="n">
        <v>45</v>
      </c>
      <c r="C5" s="8" t="n">
        <v>52</v>
      </c>
      <c r="D5" s="8" t="n">
        <v>28</v>
      </c>
      <c r="E5" s="5" t="inlineStr">
        <is>
          <t>태엽 거대도</t>
        </is>
      </c>
      <c r="F5" s="5" t="inlineStr">
        <is>
          <t>미로의 톱니검</t>
        </is>
      </c>
      <c r="G5" s="5" t="inlineStr">
        <is>
          <t>톱니 부적</t>
        </is>
      </c>
      <c r="H5" s="5" t="inlineStr">
        <is>
          <t>태엽 강화갑</t>
        </is>
      </c>
      <c r="I5" s="5" t="inlineStr">
        <is>
          <t>정밀 가죽갑</t>
        </is>
      </c>
      <c r="J5" s="5" t="inlineStr">
        <is>
          <t>환영의 신사복</t>
        </is>
      </c>
    </row>
    <row r="6">
      <c r="A6" s="5" t="n">
        <v>4</v>
      </c>
      <c r="B6" s="8" t="n">
        <v>60</v>
      </c>
      <c r="C6" s="8" t="n">
        <v>74</v>
      </c>
      <c r="D6" s="8" t="n">
        <v>40</v>
      </c>
      <c r="E6" s="5" t="inlineStr">
        <is>
          <t>마력 기계대검</t>
        </is>
      </c>
      <c r="F6" s="5" t="inlineStr">
        <is>
          <t>붉은 태엽 단도</t>
        </is>
      </c>
      <c r="G6" s="5" t="inlineStr">
        <is>
          <t>천상의 령봉</t>
        </is>
      </c>
      <c r="H6" s="5" t="inlineStr">
        <is>
          <t>미로 수호판금</t>
        </is>
      </c>
      <c r="I6" s="5" t="inlineStr">
        <is>
          <t>그림자 수호갑</t>
        </is>
      </c>
      <c r="J6" s="5" t="inlineStr">
        <is>
          <t>성스러운 신사 로브</t>
        </is>
      </c>
    </row>
    <row r="7">
      <c r="A7" s="5" t="n">
        <v>5</v>
      </c>
      <c r="B7" s="8" t="n">
        <v>75</v>
      </c>
      <c r="C7" s="8" t="n">
        <v>100</v>
      </c>
      <c r="D7" s="8" t="n">
        <v>55</v>
      </c>
      <c r="E7" s="5" t="inlineStr">
        <is>
          <t>아수라 파천도</t>
        </is>
      </c>
      <c r="F7" s="5" t="inlineStr">
        <is>
          <t>흑야의 암귀검</t>
        </is>
      </c>
      <c r="G7" s="5" t="inlineStr">
        <is>
          <t>강신 무당령</t>
        </is>
      </c>
      <c r="H7" s="5" t="inlineStr">
        <is>
          <t>아수라 중갑</t>
        </is>
      </c>
      <c r="I7" s="5" t="inlineStr">
        <is>
          <t>흑야의 야사갑</t>
        </is>
      </c>
      <c r="J7" s="5" t="inlineStr">
        <is>
          <t>천신 주술의복</t>
        </is>
      </c>
    </row>
    <row r="8">
      <c r="A8" s="5" t="n">
        <v>6</v>
      </c>
      <c r="B8" s="8" t="n">
        <v>90</v>
      </c>
      <c r="C8" s="8" t="n">
        <v>130</v>
      </c>
      <c r="D8" s="8" t="n">
        <v>72</v>
      </c>
      <c r="E8" s="5" t="inlineStr">
        <is>
          <t>멸악 패왕검</t>
        </is>
      </c>
      <c r="F8" s="5" t="inlineStr">
        <is>
          <t>시귀의 환영검</t>
        </is>
      </c>
      <c r="G8" s="5" t="inlineStr">
        <is>
          <t>신통 만신봉</t>
        </is>
      </c>
      <c r="H8" s="5" t="inlineStr">
        <is>
          <t>멸악 패왕갑</t>
        </is>
      </c>
      <c r="I8" s="5" t="inlineStr">
        <is>
          <t>시귀의 은신갑</t>
        </is>
      </c>
      <c r="J8" s="5" t="inlineStr">
        <is>
          <t>신통 만신 로브</t>
        </is>
      </c>
    </row>
    <row r="9">
      <c r="A9" s="5" t="n">
        <v>7</v>
      </c>
      <c r="B9" s="8" t="n">
        <v>99</v>
      </c>
      <c r="C9" s="8" t="n">
        <v>150</v>
      </c>
      <c r="D9" s="8" t="n">
        <v>90</v>
      </c>
      <c r="E9" s="5" t="inlineStr">
        <is>
          <t>용혈 파천검</t>
        </is>
      </c>
      <c r="F9" s="5" t="inlineStr">
        <is>
          <t>용혈 섬광단검</t>
        </is>
      </c>
      <c r="G9" s="5" t="inlineStr">
        <is>
          <t>용혈 멸세령</t>
        </is>
      </c>
      <c r="H9" s="5" t="inlineStr">
        <is>
          <t>용혈 파천중갑</t>
        </is>
      </c>
      <c r="I9" s="5" t="inlineStr">
        <is>
          <t>용혈 섬광가죽갑</t>
        </is>
      </c>
      <c r="J9" s="5" t="inlineStr">
        <is>
          <t>용혈 멸세제사장복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50" customWidth="1" min="4" max="4"/>
    <col width="100" customWidth="1" min="5" max="5"/>
  </cols>
  <sheetData>
    <row r="1">
      <c r="A1" s="4" t="inlineStr">
        <is>
          <t>직업</t>
        </is>
      </c>
      <c r="B1" s="4" t="inlineStr">
        <is>
          <t>구분</t>
        </is>
      </c>
      <c r="C1" s="4" t="inlineStr">
        <is>
          <t>이름</t>
        </is>
      </c>
      <c r="D1" s="4" t="inlineStr">
        <is>
          <t>수치</t>
        </is>
      </c>
      <c r="E1" s="4" t="inlineStr">
        <is>
          <t>효과</t>
        </is>
      </c>
    </row>
    <row r="2">
      <c r="A2" s="5" t="inlineStr">
        <is>
          <t>전사</t>
        </is>
      </c>
      <c r="B2" s="5" t="inlineStr">
        <is>
          <t>전설 무기</t>
        </is>
      </c>
      <c r="C2" s="5" t="inlineStr">
        <is>
          <t>용혈 파천검</t>
        </is>
      </c>
      <c r="D2" s="5" t="inlineStr">
        <is>
          <t>atk 1850, str 120, vit 100, pierce 15</t>
        </is>
      </c>
      <c r="E2" s="14" t="inlineStr">
        <is>
          <t>용의 위압 — 공격 시 10% 확률로 5초간 적 방어력 20% 감소 + 자신에게 [용의 비늘] (중첩당 물리·마법 방어 +3%, 최대 5중첩)</t>
        </is>
      </c>
    </row>
    <row r="3">
      <c r="A3" s="5" t="inlineStr">
        <is>
          <t>전사</t>
        </is>
      </c>
      <c r="B3" s="5" t="inlineStr">
        <is>
          <t>전설 방어구</t>
        </is>
      </c>
      <c r="C3" s="5" t="inlineStr">
        <is>
          <t>용혈 파천중갑</t>
        </is>
      </c>
      <c r="D3" s="5" t="inlineStr">
        <is>
          <t>pdef 2400, mdef 1800, hp 8500, dr 12</t>
        </is>
      </c>
      <c r="E3" s="14" t="inlineStr">
        <is>
          <t>용혈의 반사 — 피격 시 15% 확률로 받은 피해의 30%를 주변 5m 적에게 화염 반사</t>
        </is>
      </c>
    </row>
    <row r="4">
      <c r="A4" s="5" t="inlineStr">
        <is>
          <t>전사</t>
        </is>
      </c>
      <c r="B4" s="5" t="inlineStr">
        <is>
          <t>2세트 · 용혈 파천 세트</t>
        </is>
      </c>
      <c r="C4" s="5" t="inlineStr">
        <is>
          <t>멸세의 파천가</t>
        </is>
      </c>
      <c r="E4" s="14" t="inlineStr">
        <is>
          <t>불굴의 용혈: 체력 30% 이하가 되면 10초간 상태이상 면역 + 받는 피해 50% 감소 (재사용 120초) / 패왕의 광역 도발: [대지 분쇄] 범위 +50%, 기절시킨 적에게 주는 피해 +25%</t>
        </is>
      </c>
    </row>
    <row r="5">
      <c r="A5" s="5" t="inlineStr">
        <is>
          <t>도적</t>
        </is>
      </c>
      <c r="B5" s="5" t="inlineStr">
        <is>
          <t>전설 무기</t>
        </is>
      </c>
      <c r="C5" s="5" t="inlineStr">
        <is>
          <t>용혈 섬광단검</t>
        </is>
      </c>
      <c r="D5" s="5" t="inlineStr">
        <is>
          <t>atk 1620, dex 145, crit 18, critd 45</t>
        </is>
      </c>
      <c r="E5" s="14" t="inlineStr">
        <is>
          <t>용혈의 습격 — 은신 중 첫 공격은 100% 치명타 + 5초간 이동·공격 속도 +25%</t>
        </is>
      </c>
    </row>
    <row r="6">
      <c r="A6" s="5" t="inlineStr">
        <is>
          <t>도적</t>
        </is>
      </c>
      <c r="B6" s="5" t="inlineStr">
        <is>
          <t>전설 방어구</t>
        </is>
      </c>
      <c r="C6" s="5" t="inlineStr">
        <is>
          <t>용혈 섬광가죽갑</t>
        </is>
      </c>
      <c r="D6" s="5" t="inlineStr">
        <is>
          <t>pdef 1250, mdef 1100, dodge 15, dex 85</t>
        </is>
      </c>
      <c r="E6" s="14" t="inlineStr">
        <is>
          <t>그림자 비상 — 물리 공격 회피 15% · 회피 성공 시 3초간 모든 물리 공격 무효 (재사용 30초)</t>
        </is>
      </c>
    </row>
    <row r="7">
      <c r="A7" s="5" t="inlineStr">
        <is>
          <t>도적</t>
        </is>
      </c>
      <c r="B7" s="5" t="inlineStr">
        <is>
          <t>2세트 · 용혈 섬광 세트</t>
        </is>
      </c>
      <c r="C7" s="5" t="inlineStr">
        <is>
          <t>섬광의 처형자</t>
        </is>
      </c>
      <c r="E7" s="14" t="inlineStr">
        <is>
          <t>용혈의 낙인: 치명타 시 10% 확률로 낙인, 3중첩 시 폭발해 적 최대 체력 5% 추가 피해 (보스는 공격력 30배까지) / 시귀의 환영: [그림자 침투]·[영혼 적출] 재사용 대기 20% 감소, 은신 해제 후 3초간 방어 무시 20%</t>
        </is>
      </c>
    </row>
    <row r="8">
      <c r="A8" s="5" t="inlineStr">
        <is>
          <t>신관</t>
        </is>
      </c>
      <c r="B8" s="5" t="inlineStr">
        <is>
          <t>전설 무기</t>
        </is>
      </c>
      <c r="C8" s="5" t="inlineStr">
        <is>
          <t>용혈 멸세령</t>
        </is>
      </c>
      <c r="D8" s="5" t="inlineStr">
        <is>
          <t>atk 1780, int 150, mp 6000, heal 25</t>
        </is>
      </c>
      <c r="E8" s="14" t="inlineStr">
        <is>
          <t>영혼 구원 — 치유·보호막을 걸면 10초간 물리·마법 방어 +15%</t>
        </is>
      </c>
    </row>
    <row r="9">
      <c r="A9" s="5" t="inlineStr">
        <is>
          <t>신관</t>
        </is>
      </c>
      <c r="B9" s="5" t="inlineStr">
        <is>
          <t>전설 방어구</t>
        </is>
      </c>
      <c r="C9" s="5" t="inlineStr">
        <is>
          <t>용혈 멸세제사장복</t>
        </is>
      </c>
      <c r="D9" s="5" t="inlineStr">
        <is>
          <t>pdef 1100, mdef 2200, mpregen 50, int 90</t>
        </is>
      </c>
      <c r="E9" s="14" t="inlineStr">
        <is>
          <t>신성 결계 — 체력 40% 이하로 피격 시 주변 6m 적 3초 기절 + 최대 마력 30% 보호막 (재사용 60초)</t>
        </is>
      </c>
    </row>
    <row r="10">
      <c r="A10" s="5" t="inlineStr">
        <is>
          <t>신관</t>
        </is>
      </c>
      <c r="B10" s="5" t="inlineStr">
        <is>
          <t>2세트 · 용혈 멸세 세트</t>
        </is>
      </c>
      <c r="C10" s="5" t="inlineStr">
        <is>
          <t>강신 멸세의 기적</t>
        </is>
      </c>
      <c r="E10" s="14" t="inlineStr">
        <is>
          <t>주술과 봉인의 극의: [성역 선포] 범위 +100%, 성역에 봉인된 적의 공격력 30% 감소 / 용혈의 구원 기적: 빈사(체력 10% 이하)에 빠지면 3초 무적 + 체력·마력 50% 회복 (재사용 300초)</t>
        </is>
      </c>
    </row>
    <row r="11">
      <c r="A11" s="5" t="inlineStr">
        <is>
          <t>전사</t>
        </is>
      </c>
      <c r="B11" s="5" t="inlineStr">
        <is>
          <t>영웅 세트 3·5세트</t>
        </is>
      </c>
      <c r="C11" s="5" t="inlineStr">
        <is>
          <t>용혈 패왕</t>
        </is>
      </c>
      <c r="E11" s="14" t="inlineStr">
        <is>
          <t>3세트 [용의 역린] 피격·공격 성공 시 15% 확률로 용염: 10초간 공격력 +25%, 받는 피해 -15% (최대 3중첩)  /  5세트 [불사신: 용혈 강림] 죽을 피해를 받으면 5초 무적 + 주변 적 3초 기절 + 체력 50% 회복 (재사용 180초) · 근접 공격 시 20% 확률로 500% 용의 충격파</t>
        </is>
      </c>
    </row>
    <row r="12">
      <c r="A12" s="5" t="inlineStr">
        <is>
          <t>도적</t>
        </is>
      </c>
      <c r="B12" s="5" t="inlineStr">
        <is>
          <t>영웅 세트 3·5세트</t>
        </is>
      </c>
      <c r="C12" s="5" t="inlineStr">
        <is>
          <t>시귀 환영</t>
        </is>
      </c>
      <c r="E12" s="14" t="inlineStr">
        <is>
          <t>3세트 [그림자 습격] 은신 첫 타격 치명타 확정 · 치명타 피해 +60% · 회피 +25%  /  5세트 [환영 처형 &amp; 연쇄 암살] 공격 시 10% 확률로 그림자 분신 2명이 800% 연타 · 적 처치 시 모든 스킬 쿨타임 초기화</t>
        </is>
      </c>
    </row>
    <row r="13">
      <c r="A13" s="5" t="inlineStr">
        <is>
          <t>신관</t>
        </is>
      </c>
      <c r="B13" s="5" t="inlineStr">
        <is>
          <t>영웅 세트 3·5세트</t>
        </is>
      </c>
      <c r="C13" s="5" t="inlineStr">
        <is>
          <t>성녀의 축복</t>
        </is>
      </c>
      <c r="E13" s="14" t="inlineStr">
        <is>
          <t>3세트 [신성 가호] 치유량 +35% · 신성 피해 +35% · MP 초당 4% 회복  /  5세트 [천신 심판 &amp; 부활의 기적] 강신 60초 + 주변 초당 350% 신성 피해 · 쓰러지면 체력 100%로 즉시 부활 (구역마다 3회)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</cols>
  <sheetData>
    <row r="1">
      <c r="A1" s="4" t="inlineStr">
        <is>
          <t>ID</t>
        </is>
      </c>
      <c r="B1" s="4" t="inlineStr">
        <is>
          <t>지역 이름</t>
        </is>
      </c>
      <c r="C1" s="4" t="inlineStr">
        <is>
          <t>드롭 장비 등급</t>
        </is>
      </c>
    </row>
    <row r="2">
      <c r="A2" s="5" t="inlineStr">
        <is>
          <t>inn</t>
        </is>
      </c>
      <c r="B2" s="5" t="inlineStr">
        <is>
          <t>잿빛 잎새 마을 · 여관</t>
        </is>
      </c>
      <c r="C2" s="5" t="inlineStr"/>
    </row>
    <row r="3">
      <c r="A3" s="5" t="inlineStr">
        <is>
          <t>hall</t>
        </is>
      </c>
      <c r="B3" s="5" t="inlineStr">
        <is>
          <t>천명 성채 · 진급의 전당</t>
        </is>
      </c>
      <c r="C3" s="5" t="inlineStr"/>
    </row>
    <row r="4">
      <c r="A4" s="5" t="inlineStr">
        <is>
          <t>eternal</t>
        </is>
      </c>
      <c r="B4" s="5" t="inlineStr">
        <is>
          <t>영원한 성채 · 각성의 시련</t>
        </is>
      </c>
      <c r="C4" s="5" t="inlineStr"/>
    </row>
    <row r="5">
      <c r="A5" s="5" t="inlineStr">
        <is>
          <t>village</t>
        </is>
      </c>
      <c r="B5" s="5" t="inlineStr">
        <is>
          <t>잿빛 잎새 마을</t>
        </is>
      </c>
      <c r="C5" s="5" t="inlineStr"/>
    </row>
    <row r="6">
      <c r="A6" s="5" t="inlineStr">
        <is>
          <t>plains</t>
        </is>
      </c>
      <c r="B6" s="5" t="inlineStr">
        <is>
          <t>바람노래 평원</t>
        </is>
      </c>
      <c r="C6" s="5" t="inlineStr"/>
    </row>
    <row r="7">
      <c r="A7" s="5" t="inlineStr">
        <is>
          <t>citadel</t>
        </is>
      </c>
      <c r="B7" s="5" t="inlineStr">
        <is>
          <t>천명 성채</t>
        </is>
      </c>
      <c r="C7" s="5" t="inlineStr"/>
    </row>
    <row r="8">
      <c r="A8" s="5" t="inlineStr">
        <is>
          <t>beasts</t>
        </is>
      </c>
      <c r="B8" s="5" t="inlineStr">
        <is>
          <t>서쪽 사냥터 1 · 야수 서식지</t>
        </is>
      </c>
      <c r="C8" s="5" t="inlineStr">
        <is>
          <t>0</t>
        </is>
      </c>
    </row>
    <row r="9">
      <c r="A9" s="5" t="inlineStr">
        <is>
          <t>grave</t>
        </is>
      </c>
      <c r="B9" s="5" t="inlineStr">
        <is>
          <t>서쪽 사냥터 2 · 원혼의 묘지</t>
        </is>
      </c>
      <c r="C9" s="5" t="inlineStr">
        <is>
          <t>1,2</t>
        </is>
      </c>
    </row>
    <row r="10">
      <c r="A10" s="5" t="inlineStr">
        <is>
          <t>clock</t>
        </is>
      </c>
      <c r="B10" s="5" t="inlineStr">
        <is>
          <t>서쪽 사냥터 3 · 태엽 미로</t>
        </is>
      </c>
      <c r="C10" s="5" t="inlineStr">
        <is>
          <t>3,4</t>
        </is>
      </c>
    </row>
    <row r="11">
      <c r="A11" s="5" t="inlineStr">
        <is>
          <t>asura</t>
        </is>
      </c>
      <c r="B11" s="5" t="inlineStr">
        <is>
          <t>서쪽 사냥터 4 · 아수라 흑야 협곡</t>
        </is>
      </c>
      <c r="C11" s="5" t="inlineStr">
        <is>
          <t>5,6</t>
        </is>
      </c>
    </row>
    <row r="12">
      <c r="A12" s="5" t="inlineStr">
        <is>
          <t>altar</t>
        </is>
      </c>
      <c r="B12" s="5" t="inlineStr">
        <is>
          <t>용혈의 제단</t>
        </is>
      </c>
      <c r="C12" s="5" t="inlineStr">
        <is>
          <t>7</t>
        </is>
      </c>
    </row>
    <row r="13">
      <c r="A13" s="5" t="inlineStr">
        <is>
          <t>lair</t>
        </is>
      </c>
      <c r="B13" s="5" t="inlineStr">
        <is>
          <t>용혈의 제단 · 멸세의 둥지</t>
        </is>
      </c>
      <c r="C13" s="5" t="inlineStr"/>
    </row>
    <row r="14">
      <c r="A14" s="5" t="inlineStr">
        <is>
          <t>port</t>
        </is>
      </c>
      <c r="B14" s="5" t="inlineStr">
        <is>
          <t>천명 항구</t>
        </is>
      </c>
      <c r="C14" s="5" t="inlineStr"/>
    </row>
    <row r="15">
      <c r="A15" s="5" t="inlineStr">
        <is>
          <t>sea</t>
        </is>
      </c>
      <c r="B15" s="5" t="inlineStr">
        <is>
          <t>영원의 방주 · 호위전</t>
        </is>
      </c>
      <c r="C15" s="5" t="inlineStr">
        <is>
          <t>7</t>
        </is>
      </c>
    </row>
    <row r="16">
      <c r="A16" s="5" t="inlineStr">
        <is>
          <t>coral</t>
        </is>
      </c>
      <c r="B16" s="5" t="inlineStr">
        <is>
          <t>용의 바다 · 잊혀진 산호 항구</t>
        </is>
      </c>
      <c r="C16" s="5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2026-09-29T02:44:39Z</dcterms:created>
  <dcterms:modified xsi:type="dcterms:W3CDTF">2026-09-29T02:44:39Z</dcterms:modified>
</cp:coreProperties>
</file>